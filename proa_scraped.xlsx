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Dragons" sheetId="1" state="visible" r:id="rId3"/>
    <sheet name="Gottingen" sheetId="2" state="visible" r:id="rId4"/>
    <sheet name="Bremerhaven" sheetId="3" state="visible" r:id="rId5"/>
    <sheet name="Koblenz" sheetId="4" state="visible" r:id="rId6"/>
    <sheet name="Essen" sheetId="5" state="visible" r:id="rId7"/>
    <sheet name="46ers" sheetId="6" state="visible" r:id="rId8"/>
    <sheet name="Crailsheim Merlins" sheetId="7" state="visible" r:id="rId9"/>
    <sheet name="Knights Kirchheim" sheetId="8" state="visible" r:id="rId10"/>
    <sheet name="Bayreuth" sheetId="9" state="visible" r:id="rId11"/>
    <sheet name="Heidelberg" sheetId="10" state="visible" r:id="rId12"/>
    <sheet name="Falcons" sheetId="11" state="visible" r:id="rId13"/>
    <sheet name="Ulm" sheetId="12" state="visible" r:id="rId14"/>
    <sheet name="Baskets" sheetId="13" state="visible" r:id="rId15"/>
    <sheet name="LIONS" sheetId="14" state="visible" r:id="rId16"/>
    <sheet name="Koln" sheetId="15" state="visible" r:id="rId17"/>
    <sheet name="Wolmirstedt" sheetId="16" state="visible" r:id="rId18"/>
    <sheet name="Tubingen" sheetId="17" state="visible" r:id="rId19"/>
    <sheet name="Stars Bochum" sheetId="18" state="visible" r:id="rId20"/>
    <sheet name="_Overall_Model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<sst xmlns="http://schemas.openxmlformats.org/spreadsheetml/2006/main" count="1615" uniqueCount="494">
  <si>
    <t xml:space="preserve">First Name</t>
  </si>
  <si>
    <t xml:space="preserve">Last Name</t>
  </si>
  <si>
    <t xml:space="preserve">Position</t>
  </si>
  <si>
    <t xml:space="preserve">Secondary Position</t>
  </si>
  <si>
    <t xml:space="preserve">Jersey Number</t>
  </si>
  <si>
    <t xml:space="preserve">Birth Year</t>
  </si>
  <si>
    <t xml:space="preserve">Birth Month</t>
  </si>
  <si>
    <t xml:space="preserve">Birth Day</t>
  </si>
  <si>
    <t xml:space="preserve">Years Pro</t>
  </si>
  <si>
    <t xml:space="preserve">Height</t>
  </si>
  <si>
    <t xml:space="preserve">Weight</t>
  </si>
  <si>
    <t xml:space="preserve">Close Shot</t>
  </si>
  <si>
    <t xml:space="preserve">Midrange Shot</t>
  </si>
  <si>
    <t xml:space="preserve">3pt Shot</t>
  </si>
  <si>
    <t xml:space="preserve">Free Throws</t>
  </si>
  <si>
    <t xml:space="preserve">Layup</t>
  </si>
  <si>
    <t xml:space="preserve">Dunk</t>
  </si>
  <si>
    <t xml:space="preserve">Ball Handling</t>
  </si>
  <si>
    <t xml:space="preserve">Passing</t>
  </si>
  <si>
    <t xml:space="preserve">Post Offense</t>
  </si>
  <si>
    <t xml:space="preserve">Post Defense</t>
  </si>
  <si>
    <t xml:space="preserve">Block</t>
  </si>
  <si>
    <t xml:space="preserve">Steal</t>
  </si>
  <si>
    <t xml:space="preserve">Offensive Rebound</t>
  </si>
  <si>
    <t xml:space="preserve">Defensive Rebound</t>
  </si>
  <si>
    <t xml:space="preserve">Speed</t>
  </si>
  <si>
    <t xml:space="preserve">Stamina</t>
  </si>
  <si>
    <t xml:space="preserve">Durability</t>
  </si>
  <si>
    <t xml:space="preserve">Defensive Awareness</t>
  </si>
  <si>
    <t xml:space="preserve">Offensive Awareness</t>
  </si>
  <si>
    <t xml:space="preserve">Headshot ID</t>
  </si>
  <si>
    <t xml:space="preserve">ProA ID</t>
  </si>
  <si>
    <t xml:space="preserve">Overall</t>
  </si>
  <si>
    <t xml:space="preserve">Buzz</t>
  </si>
  <si>
    <t xml:space="preserve">Anthony</t>
  </si>
  <si>
    <t xml:space="preserve">PG</t>
  </si>
  <si>
    <t xml:space="preserve">N/A</t>
  </si>
  <si>
    <t xml:space="preserve">Naz</t>
  </si>
  <si>
    <t xml:space="preserve">Bohannon</t>
  </si>
  <si>
    <t xml:space="preserve">PF</t>
  </si>
  <si>
    <t xml:space="preserve">Jonathan</t>
  </si>
  <si>
    <t xml:space="preserve">Klussmann</t>
  </si>
  <si>
    <t xml:space="preserve">SG</t>
  </si>
  <si>
    <t xml:space="preserve">Moritz</t>
  </si>
  <si>
    <t xml:space="preserve">Grüß</t>
  </si>
  <si>
    <t xml:space="preserve">SF</t>
  </si>
  <si>
    <t xml:space="preserve">Grant</t>
  </si>
  <si>
    <t xml:space="preserve">Teichmann</t>
  </si>
  <si>
    <t xml:space="preserve">Epke</t>
  </si>
  <si>
    <t xml:space="preserve">Kruthaup</t>
  </si>
  <si>
    <t xml:space="preserve">Danas</t>
  </si>
  <si>
    <t xml:space="preserve">Kazakevicius</t>
  </si>
  <si>
    <t xml:space="preserve">C</t>
  </si>
  <si>
    <t xml:space="preserve">Emanuel</t>
  </si>
  <si>
    <t xml:space="preserve">Ozike</t>
  </si>
  <si>
    <t xml:space="preserve">Dominik</t>
  </si>
  <si>
    <t xml:space="preserve">Dolic</t>
  </si>
  <si>
    <t xml:space="preserve">Jamal</t>
  </si>
  <si>
    <t xml:space="preserve">Fuller</t>
  </si>
  <si>
    <t xml:space="preserve">Elijah</t>
  </si>
  <si>
    <t xml:space="preserve">Ndi</t>
  </si>
  <si>
    <t xml:space="preserve">Ralph</t>
  </si>
  <si>
    <t xml:space="preserve">Hounnou</t>
  </si>
  <si>
    <t xml:space="preserve">Linus</t>
  </si>
  <si>
    <t xml:space="preserve">Trettin</t>
  </si>
  <si>
    <t xml:space="preserve">Djairo</t>
  </si>
  <si>
    <t xml:space="preserve">Bernardina</t>
  </si>
  <si>
    <t xml:space="preserve">Dejan</t>
  </si>
  <si>
    <t xml:space="preserve">Bruce</t>
  </si>
  <si>
    <t xml:space="preserve">Tai</t>
  </si>
  <si>
    <t xml:space="preserve">Bibbs</t>
  </si>
  <si>
    <t xml:space="preserve">Zach</t>
  </si>
  <si>
    <t xml:space="preserve">Jackson</t>
  </si>
  <si>
    <t xml:space="preserve">Omar</t>
  </si>
  <si>
    <t xml:space="preserve">Pajic</t>
  </si>
  <si>
    <t xml:space="preserve">Daniel</t>
  </si>
  <si>
    <t xml:space="preserve">Kirchner</t>
  </si>
  <si>
    <t xml:space="preserve">Mathis</t>
  </si>
  <si>
    <t xml:space="preserve">Mönninghoff</t>
  </si>
  <si>
    <t xml:space="preserve">Radvilas</t>
  </si>
  <si>
    <t xml:space="preserve">Kneizys</t>
  </si>
  <si>
    <t xml:space="preserve">Robin</t>
  </si>
  <si>
    <t xml:space="preserve">Lodders</t>
  </si>
  <si>
    <t xml:space="preserve">Nils Owen</t>
  </si>
  <si>
    <t xml:space="preserve">Schmitz</t>
  </si>
  <si>
    <t xml:space="preserve">Zachary Richard</t>
  </si>
  <si>
    <t xml:space="preserve">Watson</t>
  </si>
  <si>
    <t xml:space="preserve">Gaston</t>
  </si>
  <si>
    <t xml:space="preserve">Nguyen</t>
  </si>
  <si>
    <t xml:space="preserve">Emil</t>
  </si>
  <si>
    <t xml:space="preserve">Bode</t>
  </si>
  <si>
    <t xml:space="preserve">Dominic</t>
  </si>
  <si>
    <t xml:space="preserve">Parolin</t>
  </si>
  <si>
    <t xml:space="preserve">Garai</t>
  </si>
  <si>
    <t xml:space="preserve">Zeeb</t>
  </si>
  <si>
    <t xml:space="preserve">Tyreese</t>
  </si>
  <si>
    <t xml:space="preserve">Blunt</t>
  </si>
  <si>
    <t xml:space="preserve">Jeremiah</t>
  </si>
  <si>
    <t xml:space="preserve">Oden</t>
  </si>
  <si>
    <t xml:space="preserve">Vincent</t>
  </si>
  <si>
    <t xml:space="preserve">Friederici</t>
  </si>
  <si>
    <t xml:space="preserve">Hendrik</t>
  </si>
  <si>
    <t xml:space="preserve">Warner</t>
  </si>
  <si>
    <t xml:space="preserve">Carlos</t>
  </si>
  <si>
    <t xml:space="preserve">Carter</t>
  </si>
  <si>
    <t xml:space="preserve">Jordan</t>
  </si>
  <si>
    <t xml:space="preserve">Samare</t>
  </si>
  <si>
    <t xml:space="preserve">Corey</t>
  </si>
  <si>
    <t xml:space="preserve">McKeithan</t>
  </si>
  <si>
    <t xml:space="preserve">Nolan</t>
  </si>
  <si>
    <t xml:space="preserve">Hodge</t>
  </si>
  <si>
    <t xml:space="preserve">Benjamin</t>
  </si>
  <si>
    <t xml:space="preserve">Zintz</t>
  </si>
  <si>
    <t xml:space="preserve">Alen</t>
  </si>
  <si>
    <t xml:space="preserve">Blakaj</t>
  </si>
  <si>
    <t xml:space="preserve">Lukas</t>
  </si>
  <si>
    <t xml:space="preserve">Stelmokas</t>
  </si>
  <si>
    <t xml:space="preserve">Anton</t>
  </si>
  <si>
    <t xml:space="preserve">Meyer</t>
  </si>
  <si>
    <t xml:space="preserve">Sami</t>
  </si>
  <si>
    <t xml:space="preserve">Jahan</t>
  </si>
  <si>
    <t xml:space="preserve">Dragos-Andrej</t>
  </si>
  <si>
    <t xml:space="preserve">Diculescu</t>
  </si>
  <si>
    <t xml:space="preserve">Chase</t>
  </si>
  <si>
    <t xml:space="preserve">Johnson</t>
  </si>
  <si>
    <t xml:space="preserve">Tyren</t>
  </si>
  <si>
    <t xml:space="preserve">Moore</t>
  </si>
  <si>
    <t xml:space="preserve">Camaron</t>
  </si>
  <si>
    <t xml:space="preserve">Tongue</t>
  </si>
  <si>
    <t xml:space="preserve">Jonas</t>
  </si>
  <si>
    <t xml:space="preserve">Niedermanner</t>
  </si>
  <si>
    <t xml:space="preserve">Badu</t>
  </si>
  <si>
    <t xml:space="preserve">Buck</t>
  </si>
  <si>
    <t xml:space="preserve">Jayden</t>
  </si>
  <si>
    <t xml:space="preserve">Williams</t>
  </si>
  <si>
    <t xml:space="preserve">Marko</t>
  </si>
  <si>
    <t xml:space="preserve">Bacak</t>
  </si>
  <si>
    <t xml:space="preserve">Ferenc</t>
  </si>
  <si>
    <t xml:space="preserve">Gille</t>
  </si>
  <si>
    <t xml:space="preserve">Jannis</t>
  </si>
  <si>
    <t xml:space="preserve">Sonnefeld</t>
  </si>
  <si>
    <t xml:space="preserve">Mason</t>
  </si>
  <si>
    <t xml:space="preserve">Kraus</t>
  </si>
  <si>
    <t xml:space="preserve">Alexander</t>
  </si>
  <si>
    <t xml:space="preserve">Möller</t>
  </si>
  <si>
    <t xml:space="preserve">Ömer</t>
  </si>
  <si>
    <t xml:space="preserve">Girgin</t>
  </si>
  <si>
    <t xml:space="preserve">David Lars</t>
  </si>
  <si>
    <t xml:space="preserve">Gaspers</t>
  </si>
  <si>
    <t xml:space="preserve">Quashawn Tyrese</t>
  </si>
  <si>
    <t xml:space="preserve">Lane</t>
  </si>
  <si>
    <t xml:space="preserve">Darius</t>
  </si>
  <si>
    <t xml:space="preserve">Dawson</t>
  </si>
  <si>
    <t xml:space="preserve">JJ</t>
  </si>
  <si>
    <t xml:space="preserve">Mann</t>
  </si>
  <si>
    <t xml:space="preserve">Isaiah Jevon</t>
  </si>
  <si>
    <t xml:space="preserve">Sanders</t>
  </si>
  <si>
    <t xml:space="preserve">Marc William</t>
  </si>
  <si>
    <t xml:space="preserve">Craig</t>
  </si>
  <si>
    <t xml:space="preserve">Moller</t>
  </si>
  <si>
    <t xml:space="preserve">Almstedt</t>
  </si>
  <si>
    <t xml:space="preserve">Niclas Jonathan</t>
  </si>
  <si>
    <t xml:space="preserve">Sperber</t>
  </si>
  <si>
    <t xml:space="preserve">Uzoma</t>
  </si>
  <si>
    <t xml:space="preserve">Tre</t>
  </si>
  <si>
    <t xml:space="preserve">Beard</t>
  </si>
  <si>
    <t xml:space="preserve">Price-Townsend</t>
  </si>
  <si>
    <t xml:space="preserve">Ronney</t>
  </si>
  <si>
    <t xml:space="preserve">Ani</t>
  </si>
  <si>
    <t xml:space="preserve">Zachery</t>
  </si>
  <si>
    <t xml:space="preserve">Cooks</t>
  </si>
  <si>
    <t xml:space="preserve">Christopher</t>
  </si>
  <si>
    <t xml:space="preserve">Viktor</t>
  </si>
  <si>
    <t xml:space="preserve">Kovacevic</t>
  </si>
  <si>
    <t xml:space="preserve">Benzing</t>
  </si>
  <si>
    <t xml:space="preserve">Daniel Alexander</t>
  </si>
  <si>
    <t xml:space="preserve">Norl</t>
  </si>
  <si>
    <t xml:space="preserve">Nigel</t>
  </si>
  <si>
    <t xml:space="preserve">Scantlebury</t>
  </si>
  <si>
    <t xml:space="preserve">Till</t>
  </si>
  <si>
    <t xml:space="preserve">Gloger</t>
  </si>
  <si>
    <t xml:space="preserve">Luis Elias</t>
  </si>
  <si>
    <t xml:space="preserve">König Figge</t>
  </si>
  <si>
    <t xml:space="preserve">Kai</t>
  </si>
  <si>
    <t xml:space="preserve">Müsse</t>
  </si>
  <si>
    <t xml:space="preserve">Luca-Noel</t>
  </si>
  <si>
    <t xml:space="preserve">Nickel</t>
  </si>
  <si>
    <t xml:space="preserve">Milan Elias</t>
  </si>
  <si>
    <t xml:space="preserve">Genius</t>
  </si>
  <si>
    <t xml:space="preserve">Booker</t>
  </si>
  <si>
    <t xml:space="preserve">Coplin</t>
  </si>
  <si>
    <t xml:space="preserve">Simon</t>
  </si>
  <si>
    <t xml:space="preserve">Krajcovic</t>
  </si>
  <si>
    <t xml:space="preserve">Lucas</t>
  </si>
  <si>
    <t xml:space="preserve">Mayer</t>
  </si>
  <si>
    <t xml:space="preserve">Dordevic</t>
  </si>
  <si>
    <t xml:space="preserve">Dylan</t>
  </si>
  <si>
    <t xml:space="preserve">Addae-Wusu</t>
  </si>
  <si>
    <t xml:space="preserve">Courtney</t>
  </si>
  <si>
    <t xml:space="preserve">Luc</t>
  </si>
  <si>
    <t xml:space="preserve">van Slooten</t>
  </si>
  <si>
    <t xml:space="preserve">Nico</t>
  </si>
  <si>
    <t xml:space="preserve">Höllerl</t>
  </si>
  <si>
    <t xml:space="preserve">Hendrik Helge</t>
  </si>
  <si>
    <t xml:space="preserve">Drescher</t>
  </si>
  <si>
    <t xml:space="preserve">Peyton Kennedy</t>
  </si>
  <si>
    <t xml:space="preserve">Gerald</t>
  </si>
  <si>
    <t xml:space="preserve">Gianni</t>
  </si>
  <si>
    <t xml:space="preserve">Otto</t>
  </si>
  <si>
    <t xml:space="preserve">Isemann</t>
  </si>
  <si>
    <t xml:space="preserve">Mathéo</t>
  </si>
  <si>
    <t xml:space="preserve">Hermann</t>
  </si>
  <si>
    <t xml:space="preserve">Phil</t>
  </si>
  <si>
    <t xml:space="preserve">Ikejiaku</t>
  </si>
  <si>
    <t xml:space="preserve">Desmond</t>
  </si>
  <si>
    <t xml:space="preserve">Tyrel</t>
  </si>
  <si>
    <t xml:space="preserve">Morgan</t>
  </si>
  <si>
    <t xml:space="preserve">Julius</t>
  </si>
  <si>
    <t xml:space="preserve">Wolf</t>
  </si>
  <si>
    <t xml:space="preserve">Hines Jr</t>
  </si>
  <si>
    <t xml:space="preserve">Philip</t>
  </si>
  <si>
    <t xml:space="preserve">Alston</t>
  </si>
  <si>
    <t xml:space="preserve">Adrian</t>
  </si>
  <si>
    <t xml:space="preserve">Worthy</t>
  </si>
  <si>
    <t xml:space="preserve">Christoph</t>
  </si>
  <si>
    <t xml:space="preserve">Philipps</t>
  </si>
  <si>
    <t xml:space="preserve">Johannes</t>
  </si>
  <si>
    <t xml:space="preserve">Patrick</t>
  </si>
  <si>
    <t xml:space="preserve">Nicolas</t>
  </si>
  <si>
    <t xml:space="preserve">Bretzel</t>
  </si>
  <si>
    <t xml:space="preserve">Paul</t>
  </si>
  <si>
    <t xml:space="preserve">Viefhues</t>
  </si>
  <si>
    <t xml:space="preserve">Zerner</t>
  </si>
  <si>
    <t xml:space="preserve">Stief</t>
  </si>
  <si>
    <t xml:space="preserve">Lemke</t>
  </si>
  <si>
    <t xml:space="preserve">Fabian</t>
  </si>
  <si>
    <t xml:space="preserve">John</t>
  </si>
  <si>
    <t xml:space="preserve">Glen</t>
  </si>
  <si>
    <t xml:space="preserve">Abram Jr.</t>
  </si>
  <si>
    <t xml:space="preserve">Plescher</t>
  </si>
  <si>
    <t xml:space="preserve">Luis</t>
  </si>
  <si>
    <t xml:space="preserve">Wulff</t>
  </si>
  <si>
    <t xml:space="preserve">Collin</t>
  </si>
  <si>
    <t xml:space="preserve">Metcalf</t>
  </si>
  <si>
    <t xml:space="preserve">Hildebrandt</t>
  </si>
  <si>
    <t xml:space="preserve">Kevin</t>
  </si>
  <si>
    <t xml:space="preserve">Wohlrath</t>
  </si>
  <si>
    <t xml:space="preserve">Taje</t>
  </si>
  <si>
    <t xml:space="preserve">Kelly</t>
  </si>
  <si>
    <t xml:space="preserve">Matt</t>
  </si>
  <si>
    <t xml:space="preserve">Frierson</t>
  </si>
  <si>
    <t xml:space="preserve">Joshua</t>
  </si>
  <si>
    <t xml:space="preserve">Bonga</t>
  </si>
  <si>
    <t xml:space="preserve">Prospere II</t>
  </si>
  <si>
    <t xml:space="preserve">Chris</t>
  </si>
  <si>
    <t xml:space="preserve">Würmseher</t>
  </si>
  <si>
    <t xml:space="preserve">Leroy</t>
  </si>
  <si>
    <t xml:space="preserve">Noah</t>
  </si>
  <si>
    <t xml:space="preserve">Wabersich</t>
  </si>
  <si>
    <t xml:space="preserve">Leo</t>
  </si>
  <si>
    <t xml:space="preserve">Friedlein</t>
  </si>
  <si>
    <t xml:space="preserve">Liam</t>
  </si>
  <si>
    <t xml:space="preserve">Holländer</t>
  </si>
  <si>
    <t xml:space="preserve">Roth</t>
  </si>
  <si>
    <t xml:space="preserve">McClain</t>
  </si>
  <si>
    <t xml:space="preserve">Charles Tyrone</t>
  </si>
  <si>
    <t xml:space="preserve">Harris Jr.</t>
  </si>
  <si>
    <t xml:space="preserve">Joschka</t>
  </si>
  <si>
    <t xml:space="preserve">Ferner</t>
  </si>
  <si>
    <t xml:space="preserve">Nicholas Ryan</t>
  </si>
  <si>
    <t xml:space="preserve">Muszynski</t>
  </si>
  <si>
    <t xml:space="preserve">Franklin Lenard</t>
  </si>
  <si>
    <t xml:space="preserve">Champion</t>
  </si>
  <si>
    <t xml:space="preserve">Oskar</t>
  </si>
  <si>
    <t xml:space="preserve">Humpert</t>
  </si>
  <si>
    <t xml:space="preserve">Lorenz</t>
  </si>
  <si>
    <t xml:space="preserve">Brenneke</t>
  </si>
  <si>
    <t xml:space="preserve">Erol</t>
  </si>
  <si>
    <t xml:space="preserve">Ersek</t>
  </si>
  <si>
    <t xml:space="preserve">Cantia Jevon</t>
  </si>
  <si>
    <t xml:space="preserve">Rahming</t>
  </si>
  <si>
    <t xml:space="preserve">Zipser</t>
  </si>
  <si>
    <t xml:space="preserve">Niklas</t>
  </si>
  <si>
    <t xml:space="preserve">Würzner</t>
  </si>
  <si>
    <t xml:space="preserve">Felix</t>
  </si>
  <si>
    <t xml:space="preserve">Diez</t>
  </si>
  <si>
    <t xml:space="preserve">Vengert</t>
  </si>
  <si>
    <t xml:space="preserve">Hoffmann</t>
  </si>
  <si>
    <t xml:space="preserve">Nate</t>
  </si>
  <si>
    <t xml:space="preserve">Heise</t>
  </si>
  <si>
    <t xml:space="preserve">Xavier</t>
  </si>
  <si>
    <t xml:space="preserve">Bell</t>
  </si>
  <si>
    <t xml:space="preserve">Jenö</t>
  </si>
  <si>
    <t xml:space="preserve">Pildner</t>
  </si>
  <si>
    <t xml:space="preserve">Ty</t>
  </si>
  <si>
    <t xml:space="preserve">Allred</t>
  </si>
  <si>
    <t xml:space="preserve">Tim</t>
  </si>
  <si>
    <t xml:space="preserve">Köpple</t>
  </si>
  <si>
    <t xml:space="preserve">Jarne</t>
  </si>
  <si>
    <t xml:space="preserve">Jürgens</t>
  </si>
  <si>
    <t xml:space="preserve">Lars</t>
  </si>
  <si>
    <t xml:space="preserve">Lagerpusch</t>
  </si>
  <si>
    <t xml:space="preserve">Christian</t>
  </si>
  <si>
    <t xml:space="preserve">Feneberg</t>
  </si>
  <si>
    <t xml:space="preserve">Dominick</t>
  </si>
  <si>
    <t xml:space="preserve">von Waaden</t>
  </si>
  <si>
    <t xml:space="preserve">Drew</t>
  </si>
  <si>
    <t xml:space="preserve">Stover</t>
  </si>
  <si>
    <t xml:space="preserve">Helterhoff</t>
  </si>
  <si>
    <t xml:space="preserve">Lenke</t>
  </si>
  <si>
    <t xml:space="preserve">Nic</t>
  </si>
  <si>
    <t xml:space="preserve">Welp</t>
  </si>
  <si>
    <t xml:space="preserve">Fischer</t>
  </si>
  <si>
    <t xml:space="preserve">Meissa</t>
  </si>
  <si>
    <t xml:space="preserve">Faye</t>
  </si>
  <si>
    <t xml:space="preserve">Juom Maker</t>
  </si>
  <si>
    <t xml:space="preserve">Bol Meen</t>
  </si>
  <si>
    <t xml:space="preserve">Teo</t>
  </si>
  <si>
    <t xml:space="preserve">Milicic</t>
  </si>
  <si>
    <t xml:space="preserve">Lenny</t>
  </si>
  <si>
    <t xml:space="preserve">Liedtke</t>
  </si>
  <si>
    <t xml:space="preserve">CJ</t>
  </si>
  <si>
    <t xml:space="preserve">Anthony Jr</t>
  </si>
  <si>
    <t xml:space="preserve">Namori</t>
  </si>
  <si>
    <t xml:space="preserve">Omog</t>
  </si>
  <si>
    <t xml:space="preserve">Zoran</t>
  </si>
  <si>
    <t xml:space="preserve">Nil</t>
  </si>
  <si>
    <t xml:space="preserve">Failenschmid Clavera</t>
  </si>
  <si>
    <t xml:space="preserve">Tobias Rainer</t>
  </si>
  <si>
    <t xml:space="preserve">Holbach</t>
  </si>
  <si>
    <t xml:space="preserve">Kiehlneker</t>
  </si>
  <si>
    <t xml:space="preserve">Joel</t>
  </si>
  <si>
    <t xml:space="preserve">Lindsay</t>
  </si>
  <si>
    <t xml:space="preserve">Yanu</t>
  </si>
  <si>
    <t xml:space="preserve">Slingerland</t>
  </si>
  <si>
    <t xml:space="preserve">Lennart</t>
  </si>
  <si>
    <t xml:space="preserve">Zeuch</t>
  </si>
  <si>
    <t xml:space="preserve">Volf</t>
  </si>
  <si>
    <t xml:space="preserve">Jon'll Larenz</t>
  </si>
  <si>
    <t xml:space="preserve">Fugett</t>
  </si>
  <si>
    <t xml:space="preserve">Emmanuel</t>
  </si>
  <si>
    <t xml:space="preserve">Ugbo</t>
  </si>
  <si>
    <t xml:space="preserve">Schultz</t>
  </si>
  <si>
    <t xml:space="preserve">Nik Philip</t>
  </si>
  <si>
    <t xml:space="preserve">Schlipf</t>
  </si>
  <si>
    <t xml:space="preserve">Eyassu</t>
  </si>
  <si>
    <t xml:space="preserve">Worku</t>
  </si>
  <si>
    <t xml:space="preserve">Nicolas Ignacio</t>
  </si>
  <si>
    <t xml:space="preserve">Marty-Decker</t>
  </si>
  <si>
    <t xml:space="preserve">Kollmar</t>
  </si>
  <si>
    <t xml:space="preserve">Matej</t>
  </si>
  <si>
    <t xml:space="preserve">Silic</t>
  </si>
  <si>
    <t xml:space="preserve">Nicholas Gerard</t>
  </si>
  <si>
    <t xml:space="preserve">Spinoso</t>
  </si>
  <si>
    <t xml:space="preserve">Leonard</t>
  </si>
  <si>
    <t xml:space="preserve">Kröger</t>
  </si>
  <si>
    <t xml:space="preserve">Levy Kaan</t>
  </si>
  <si>
    <t xml:space="preserve">Koyutürk</t>
  </si>
  <si>
    <t xml:space="preserve">Hannes</t>
  </si>
  <si>
    <t xml:space="preserve">Frischemeier</t>
  </si>
  <si>
    <t xml:space="preserve">Isaiah Rayshaud</t>
  </si>
  <si>
    <t xml:space="preserve">Hart</t>
  </si>
  <si>
    <t xml:space="preserve">Zac</t>
  </si>
  <si>
    <t xml:space="preserve">Owens</t>
  </si>
  <si>
    <t xml:space="preserve">Bazoumana</t>
  </si>
  <si>
    <t xml:space="preserve">Koné</t>
  </si>
  <si>
    <t xml:space="preserve">Maurice Marko</t>
  </si>
  <si>
    <t xml:space="preserve">Pluskota</t>
  </si>
  <si>
    <t xml:space="preserve">Robert</t>
  </si>
  <si>
    <t xml:space="preserve">Jones</t>
  </si>
  <si>
    <t xml:space="preserve">Kilian</t>
  </si>
  <si>
    <t xml:space="preserve">Binapfl</t>
  </si>
  <si>
    <t xml:space="preserve">Theo</t>
  </si>
  <si>
    <t xml:space="preserve">Seng</t>
  </si>
  <si>
    <t xml:space="preserve">Martel</t>
  </si>
  <si>
    <t xml:space="preserve">Wesley Chima</t>
  </si>
  <si>
    <t xml:space="preserve">Oba</t>
  </si>
  <si>
    <t xml:space="preserve">Jason</t>
  </si>
  <si>
    <t xml:space="preserve">George</t>
  </si>
  <si>
    <t xml:space="preserve">Koch</t>
  </si>
  <si>
    <t xml:space="preserve">David</t>
  </si>
  <si>
    <t xml:space="preserve">Scheu</t>
  </si>
  <si>
    <t xml:space="preserve">Luka</t>
  </si>
  <si>
    <t xml:space="preserve">Galic</t>
  </si>
  <si>
    <t xml:space="preserve">Julijo</t>
  </si>
  <si>
    <t xml:space="preserve">Kendeš</t>
  </si>
  <si>
    <t xml:space="preserve">Cedric Cezell</t>
  </si>
  <si>
    <t xml:space="preserve">Russell Jr</t>
  </si>
  <si>
    <t xml:space="preserve">Antonio Deshon</t>
  </si>
  <si>
    <t xml:space="preserve">Kristopher</t>
  </si>
  <si>
    <t xml:space="preserve">Monroe</t>
  </si>
  <si>
    <t xml:space="preserve">Nat</t>
  </si>
  <si>
    <t xml:space="preserve">Diallo</t>
  </si>
  <si>
    <t xml:space="preserve">Haris</t>
  </si>
  <si>
    <t xml:space="preserve">Hujic</t>
  </si>
  <si>
    <t xml:space="preserve">James</t>
  </si>
  <si>
    <t xml:space="preserve">Patterson III</t>
  </si>
  <si>
    <t xml:space="preserve">Maximilian</t>
  </si>
  <si>
    <t xml:space="preserve">Begue</t>
  </si>
  <si>
    <t xml:space="preserve">Björn</t>
  </si>
  <si>
    <t xml:space="preserve">Rohwer</t>
  </si>
  <si>
    <t xml:space="preserve">Jasper</t>
  </si>
  <si>
    <t xml:space="preserve">Günther</t>
  </si>
  <si>
    <t xml:space="preserve">Karl</t>
  </si>
  <si>
    <t xml:space="preserve">Bühner</t>
  </si>
  <si>
    <t xml:space="preserve">Konstantin Matthias</t>
  </si>
  <si>
    <t xml:space="preserve">Lehmann</t>
  </si>
  <si>
    <t xml:space="preserve">Cuvalo</t>
  </si>
  <si>
    <t xml:space="preserve">Ferdinand Justus</t>
  </si>
  <si>
    <t xml:space="preserve">Trefzger</t>
  </si>
  <si>
    <t xml:space="preserve">Kyndahl</t>
  </si>
  <si>
    <t xml:space="preserve">Hill</t>
  </si>
  <si>
    <t xml:space="preserve">Kenneth Andrew</t>
  </si>
  <si>
    <t xml:space="preserve">Cooper</t>
  </si>
  <si>
    <t xml:space="preserve">Sebastian</t>
  </si>
  <si>
    <t xml:space="preserve">Brach</t>
  </si>
  <si>
    <t xml:space="preserve">Akim-Jamal</t>
  </si>
  <si>
    <t xml:space="preserve">Jonah</t>
  </si>
  <si>
    <t xml:space="preserve">Martin</t>
  </si>
  <si>
    <t xml:space="preserve">Bogdanov</t>
  </si>
  <si>
    <t xml:space="preserve">Alieu</t>
  </si>
  <si>
    <t xml:space="preserve">Ceesay</t>
  </si>
  <si>
    <t xml:space="preserve">Brock Boone</t>
  </si>
  <si>
    <t xml:space="preserve">Gardner</t>
  </si>
  <si>
    <t xml:space="preserve">Aeneas</t>
  </si>
  <si>
    <t xml:space="preserve">Jung</t>
  </si>
  <si>
    <t xml:space="preserve">Dennis</t>
  </si>
  <si>
    <t xml:space="preserve">Nawrocki</t>
  </si>
  <si>
    <t xml:space="preserve">Matthias</t>
  </si>
  <si>
    <t xml:space="preserve">Fichtner</t>
  </si>
  <si>
    <t xml:space="preserve">Marcus</t>
  </si>
  <si>
    <t xml:space="preserve">Evans</t>
  </si>
  <si>
    <t xml:space="preserve">Carl Thure</t>
  </si>
  <si>
    <t xml:space="preserve">Peters</t>
  </si>
  <si>
    <t xml:space="preserve">Paul Manuel</t>
  </si>
  <si>
    <t xml:space="preserve">Raabe</t>
  </si>
  <si>
    <t xml:space="preserve">von Oertzen</t>
  </si>
  <si>
    <t xml:space="preserve">Isaac</t>
  </si>
  <si>
    <t xml:space="preserve">Haney</t>
  </si>
  <si>
    <t xml:space="preserve">Timothy</t>
  </si>
  <si>
    <t xml:space="preserve">Smith</t>
  </si>
  <si>
    <t xml:space="preserve">Melkisedek Kwaku</t>
  </si>
  <si>
    <t xml:space="preserve">Moreaux</t>
  </si>
  <si>
    <t xml:space="preserve">Kamp</t>
  </si>
  <si>
    <t xml:space="preserve">Creighton Bryan William</t>
  </si>
  <si>
    <t xml:space="preserve">Morisch</t>
  </si>
  <si>
    <t xml:space="preserve">Aiden</t>
  </si>
  <si>
    <t xml:space="preserve">Warnholtz</t>
  </si>
  <si>
    <t xml:space="preserve">Kristian Henning</t>
  </si>
  <si>
    <t xml:space="preserve">Sjolund</t>
  </si>
  <si>
    <t xml:space="preserve">Fabien</t>
  </si>
  <si>
    <t xml:space="preserve">Kondo</t>
  </si>
  <si>
    <t xml:space="preserve">Till-Joscha</t>
  </si>
  <si>
    <t xml:space="preserve">Jönke</t>
  </si>
  <si>
    <t xml:space="preserve">Jesse Chidera</t>
  </si>
  <si>
    <t xml:space="preserve">Santana Mojica</t>
  </si>
  <si>
    <t xml:space="preserve">Aron</t>
  </si>
  <si>
    <t xml:space="preserve">Heberle</t>
  </si>
  <si>
    <t xml:space="preserve">Neil</t>
  </si>
  <si>
    <t xml:space="preserve">Schwanenberg</t>
  </si>
  <si>
    <t xml:space="preserve">Julian</t>
  </si>
  <si>
    <t xml:space="preserve">Hilt</t>
  </si>
  <si>
    <t xml:space="preserve">JaMonta</t>
  </si>
  <si>
    <t xml:space="preserve">Black</t>
  </si>
  <si>
    <t xml:space="preserve">Geske</t>
  </si>
  <si>
    <t xml:space="preserve">Thomas</t>
  </si>
  <si>
    <t xml:space="preserve">Kamarad</t>
  </si>
  <si>
    <t xml:space="preserve">Masnic</t>
  </si>
  <si>
    <t xml:space="preserve">Aitor Julen</t>
  </si>
  <si>
    <t xml:space="preserve">Pickett Lazo</t>
  </si>
  <si>
    <t xml:space="preserve">Gabriel</t>
  </si>
  <si>
    <t xml:space="preserve">Kuku</t>
  </si>
  <si>
    <t xml:space="preserve">Pisic</t>
  </si>
  <si>
    <t xml:space="preserve">Dietz</t>
  </si>
  <si>
    <t xml:space="preserve">Jaylen</t>
  </si>
  <si>
    <t xml:space="preserve">Wesley</t>
  </si>
  <si>
    <t xml:space="preserve">Pablo</t>
  </si>
  <si>
    <t xml:space="preserve">Estelle</t>
  </si>
  <si>
    <t xml:space="preserve">Dyami</t>
  </si>
  <si>
    <t xml:space="preserve">Janeck</t>
  </si>
  <si>
    <t xml:space="preserve">Conrad</t>
  </si>
  <si>
    <t xml:space="preserve">Klotz</t>
  </si>
  <si>
    <t xml:space="preserve">Mats</t>
  </si>
  <si>
    <t xml:space="preserve">Neumann</t>
  </si>
  <si>
    <t xml:space="preserve">Neo</t>
  </si>
  <si>
    <t xml:space="preserve">Scholz</t>
  </si>
  <si>
    <t xml:space="preserve">Intercept</t>
  </si>
  <si>
    <t xml:space="preserve">DunkFlag weight</t>
  </si>
  <si>
    <t xml:space="preserve">Height coef (per m)</t>
  </si>
  <si>
    <t xml:space="preserve">Weight coef (per kg)</t>
  </si>
  <si>
    <t xml:space="preserve">Overall = ROUND(intercept + sum(weight * rating) + DunkFlag weight * DunkFlag + height/weight terms), weights by Position.</t>
  </si>
  <si>
    <t xml:space="preserve">DunkFlag = 99 if Dunk &gt;= 75, 50 if Dunk &gt;= 60, else 0 (what build_roster writes to the record).</t>
  </si>
  <si>
    <t xml:space="preserve">The intercept already contains the neutral record bytes build_roster writes (B4F, B50, B55, ...).</t>
  </si>
  <si>
    <t xml:space="preserve">Generated by scripts/overall_sheet.py from data/overall_model.json (LOO error 1.39, n=211). Edit the model via fit_overall.py, not here.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</si>
</sst>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G2" activeCellId="0" sqref="AG2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33</v>
      </c>
      <c r="B2" s="0" t="s">
        <v>34</v>
      </c>
      <c r="C2" s="0" t="s">
        <v>35</v>
      </c>
      <c r="D2" s="0" t="s">
        <v>36</v>
      </c>
      <c r="E2" s="0" t="n">
        <v>9</v>
      </c>
      <c r="F2" s="0" t="n">
        <v>1998</v>
      </c>
      <c r="G2" s="0" t="n">
        <v>9</v>
      </c>
      <c r="H2" s="0" t="n">
        <v>4</v>
      </c>
      <c r="J2" s="0" t="n">
        <v>1.8</v>
      </c>
      <c r="K2" s="0" t="n">
        <v>83</v>
      </c>
      <c r="L2" s="0" t="n">
        <v>83</v>
      </c>
      <c r="M2" s="0" t="n">
        <v>88</v>
      </c>
      <c r="N2" s="0" t="n">
        <v>90</v>
      </c>
      <c r="O2" s="0" t="n">
        <v>99</v>
      </c>
      <c r="P2" s="0" t="n">
        <v>95</v>
      </c>
      <c r="Q2" s="0" t="n">
        <v>66</v>
      </c>
      <c r="R2" s="0" t="n">
        <v>99</v>
      </c>
      <c r="S2" s="0" t="n">
        <v>99</v>
      </c>
      <c r="T2" s="0" t="n">
        <v>62</v>
      </c>
      <c r="U2" s="0" t="n">
        <v>55</v>
      </c>
      <c r="V2" s="0" t="n">
        <v>55</v>
      </c>
      <c r="W2" s="0" t="n">
        <v>99</v>
      </c>
      <c r="X2" s="0" t="n">
        <v>61</v>
      </c>
      <c r="Y2" s="0" t="n">
        <v>63</v>
      </c>
      <c r="Z2" s="0" t="n">
        <v>99</v>
      </c>
      <c r="AA2" s="0" t="n">
        <v>88</v>
      </c>
      <c r="AB2" s="0" t="n">
        <v>83</v>
      </c>
      <c r="AC2" s="0" t="n">
        <v>83</v>
      </c>
      <c r="AD2" s="0" t="n">
        <v>82</v>
      </c>
      <c r="AE2" s="0" t="n">
        <v>5052</v>
      </c>
      <c r="AF2" s="0" t="n">
        <v>2000116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95</v>
      </c>
    </row>
    <row r="3" customFormat="false" ht="15" hidden="false" customHeight="false" outlineLevel="0" collapsed="false">
      <c r="A3" s="0" t="s">
        <v>37</v>
      </c>
      <c r="B3" s="0" t="s">
        <v>38</v>
      </c>
      <c r="C3" s="0" t="s">
        <v>39</v>
      </c>
      <c r="D3" s="0" t="s">
        <v>36</v>
      </c>
      <c r="E3" s="0" t="n">
        <v>32</v>
      </c>
      <c r="F3" s="0" t="n">
        <v>1999</v>
      </c>
      <c r="G3" s="0" t="n">
        <v>1</v>
      </c>
      <c r="H3" s="0" t="n">
        <v>22</v>
      </c>
      <c r="J3" s="0" t="n">
        <v>1.98</v>
      </c>
      <c r="K3" s="0" t="n">
        <v>103</v>
      </c>
      <c r="L3" s="0" t="n">
        <v>91</v>
      </c>
      <c r="M3" s="0" t="n">
        <v>80</v>
      </c>
      <c r="N3" s="0" t="n">
        <v>60</v>
      </c>
      <c r="O3" s="0" t="n">
        <v>60</v>
      </c>
      <c r="P3" s="0" t="n">
        <v>88</v>
      </c>
      <c r="Q3" s="0" t="n">
        <v>84</v>
      </c>
      <c r="R3" s="0" t="n">
        <v>70</v>
      </c>
      <c r="S3" s="0" t="n">
        <v>71</v>
      </c>
      <c r="T3" s="0" t="n">
        <v>84</v>
      </c>
      <c r="U3" s="0" t="n">
        <v>87</v>
      </c>
      <c r="V3" s="0" t="n">
        <v>81</v>
      </c>
      <c r="W3" s="0" t="n">
        <v>71</v>
      </c>
      <c r="X3" s="0" t="n">
        <v>95</v>
      </c>
      <c r="Y3" s="0" t="n">
        <v>69</v>
      </c>
      <c r="Z3" s="0" t="n">
        <v>75</v>
      </c>
      <c r="AA3" s="0" t="n">
        <v>88</v>
      </c>
      <c r="AB3" s="0" t="n">
        <v>94</v>
      </c>
      <c r="AC3" s="0" t="n">
        <v>77</v>
      </c>
      <c r="AD3" s="0" t="n">
        <v>78</v>
      </c>
      <c r="AE3" s="0" t="n">
        <v>9190</v>
      </c>
      <c r="AF3" s="0" t="n">
        <v>2005105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83</v>
      </c>
    </row>
    <row r="4" customFormat="false" ht="15" hidden="false" customHeight="false" outlineLevel="0" collapsed="false">
      <c r="A4" s="0" t="s">
        <v>40</v>
      </c>
      <c r="B4" s="0" t="s">
        <v>41</v>
      </c>
      <c r="C4" s="0" t="s">
        <v>42</v>
      </c>
      <c r="D4" s="0" t="s">
        <v>36</v>
      </c>
      <c r="E4" s="0" t="n">
        <v>71</v>
      </c>
      <c r="F4" s="0" t="n">
        <v>2002</v>
      </c>
      <c r="G4" s="0" t="n">
        <v>10</v>
      </c>
      <c r="H4" s="0" t="n">
        <v>6</v>
      </c>
      <c r="J4" s="0" t="n">
        <v>1.9</v>
      </c>
      <c r="K4" s="0" t="n">
        <v>88</v>
      </c>
      <c r="L4" s="0" t="n">
        <v>85</v>
      </c>
      <c r="M4" s="0" t="n">
        <v>88</v>
      </c>
      <c r="N4" s="0" t="n">
        <v>67</v>
      </c>
      <c r="O4" s="0" t="n">
        <v>94</v>
      </c>
      <c r="P4" s="0" t="n">
        <v>92</v>
      </c>
      <c r="Q4" s="0" t="n">
        <v>69</v>
      </c>
      <c r="R4" s="0" t="n">
        <v>87</v>
      </c>
      <c r="S4" s="0" t="n">
        <v>79</v>
      </c>
      <c r="T4" s="0" t="n">
        <v>64</v>
      </c>
      <c r="U4" s="0" t="n">
        <v>60</v>
      </c>
      <c r="V4" s="0" t="n">
        <v>60</v>
      </c>
      <c r="W4" s="0" t="n">
        <v>81</v>
      </c>
      <c r="X4" s="0" t="n">
        <v>59</v>
      </c>
      <c r="Y4" s="0" t="n">
        <v>66</v>
      </c>
      <c r="Z4" s="0" t="n">
        <v>91</v>
      </c>
      <c r="AA4" s="0" t="n">
        <v>86</v>
      </c>
      <c r="AB4" s="0" t="n">
        <v>80</v>
      </c>
      <c r="AC4" s="0" t="n">
        <v>79</v>
      </c>
      <c r="AD4" s="0" t="n">
        <v>81</v>
      </c>
      <c r="AE4" s="0" t="n">
        <v>9134</v>
      </c>
      <c r="AF4" s="0" t="n">
        <v>2004392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85</v>
      </c>
    </row>
    <row r="5" customFormat="false" ht="15" hidden="false" customHeight="false" outlineLevel="0" collapsed="false">
      <c r="A5" s="0" t="s">
        <v>43</v>
      </c>
      <c r="B5" s="0" t="s">
        <v>44</v>
      </c>
      <c r="C5" s="0" t="s">
        <v>45</v>
      </c>
      <c r="D5" s="0" t="s">
        <v>36</v>
      </c>
      <c r="E5" s="0" t="n">
        <v>8</v>
      </c>
      <c r="F5" s="0" t="n">
        <v>2008</v>
      </c>
      <c r="G5" s="0" t="n">
        <v>9</v>
      </c>
      <c r="H5" s="0" t="n">
        <v>30</v>
      </c>
      <c r="J5" s="0" t="n">
        <v>1.96</v>
      </c>
      <c r="K5" s="0" t="n">
        <v>92</v>
      </c>
      <c r="L5" s="0" t="n">
        <v>84</v>
      </c>
      <c r="M5" s="0" t="n">
        <v>84</v>
      </c>
      <c r="N5" s="0" t="n">
        <v>67</v>
      </c>
      <c r="O5" s="0" t="n">
        <v>69</v>
      </c>
      <c r="P5" s="0" t="n">
        <v>88</v>
      </c>
      <c r="Q5" s="0" t="n">
        <v>79</v>
      </c>
      <c r="R5" s="0" t="n">
        <v>78</v>
      </c>
      <c r="S5" s="0" t="n">
        <v>71</v>
      </c>
      <c r="T5" s="0" t="n">
        <v>65</v>
      </c>
      <c r="U5" s="0" t="n">
        <v>74</v>
      </c>
      <c r="V5" s="0" t="n">
        <v>69</v>
      </c>
      <c r="W5" s="0" t="n">
        <v>79</v>
      </c>
      <c r="X5" s="0" t="n">
        <v>71</v>
      </c>
      <c r="Y5" s="0" t="n">
        <v>69</v>
      </c>
      <c r="Z5" s="0" t="n">
        <v>88</v>
      </c>
      <c r="AA5" s="0" t="n">
        <v>85</v>
      </c>
      <c r="AB5" s="0" t="n">
        <v>81</v>
      </c>
      <c r="AC5" s="0" t="n">
        <v>76</v>
      </c>
      <c r="AD5" s="0" t="n">
        <v>74</v>
      </c>
      <c r="AE5" s="0" t="n">
        <v>9158</v>
      </c>
      <c r="AF5" s="0" t="n">
        <v>2004604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81</v>
      </c>
    </row>
    <row r="6" customFormat="false" ht="15" hidden="false" customHeight="false" outlineLevel="0" collapsed="false">
      <c r="A6" s="0" t="s">
        <v>46</v>
      </c>
      <c r="B6" s="0" t="s">
        <v>47</v>
      </c>
      <c r="C6" s="0" t="s">
        <v>42</v>
      </c>
      <c r="D6" s="0" t="s">
        <v>36</v>
      </c>
      <c r="E6" s="0" t="n">
        <v>6</v>
      </c>
      <c r="F6" s="0" t="n">
        <v>1996</v>
      </c>
      <c r="G6" s="0" t="n">
        <v>8</v>
      </c>
      <c r="H6" s="0" t="n">
        <v>6</v>
      </c>
      <c r="J6" s="0" t="n">
        <v>1.91</v>
      </c>
      <c r="K6" s="0" t="n">
        <v>90</v>
      </c>
      <c r="L6" s="0" t="n">
        <v>80</v>
      </c>
      <c r="M6" s="0" t="n">
        <v>83</v>
      </c>
      <c r="N6" s="0" t="n">
        <v>92</v>
      </c>
      <c r="O6" s="0" t="n">
        <v>60</v>
      </c>
      <c r="P6" s="0" t="n">
        <v>87</v>
      </c>
      <c r="Q6" s="0" t="n">
        <v>66</v>
      </c>
      <c r="R6" s="0" t="n">
        <v>90</v>
      </c>
      <c r="S6" s="0" t="n">
        <v>78</v>
      </c>
      <c r="T6" s="0" t="n">
        <v>60</v>
      </c>
      <c r="U6" s="0" t="n">
        <v>59</v>
      </c>
      <c r="V6" s="0" t="n">
        <v>59</v>
      </c>
      <c r="W6" s="0" t="n">
        <v>80</v>
      </c>
      <c r="X6" s="0" t="n">
        <v>58</v>
      </c>
      <c r="Y6" s="0" t="n">
        <v>63</v>
      </c>
      <c r="Z6" s="0" t="n">
        <v>87</v>
      </c>
      <c r="AA6" s="0" t="n">
        <v>82</v>
      </c>
      <c r="AB6" s="0" t="n">
        <v>79</v>
      </c>
      <c r="AC6" s="0" t="n">
        <v>80</v>
      </c>
      <c r="AD6" s="0" t="n">
        <v>84</v>
      </c>
      <c r="AE6" s="0" t="n">
        <v>9135</v>
      </c>
      <c r="AF6" s="0" t="n">
        <v>2004414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83</v>
      </c>
    </row>
    <row r="7" customFormat="false" ht="15" hidden="false" customHeight="false" outlineLevel="0" collapsed="false">
      <c r="A7" s="0" t="s">
        <v>48</v>
      </c>
      <c r="B7" s="0" t="s">
        <v>49</v>
      </c>
      <c r="C7" s="0" t="s">
        <v>35</v>
      </c>
      <c r="D7" s="0" t="s">
        <v>36</v>
      </c>
      <c r="E7" s="0" t="n">
        <v>2</v>
      </c>
      <c r="F7" s="0" t="n">
        <v>2008</v>
      </c>
      <c r="G7" s="0" t="n">
        <v>9</v>
      </c>
      <c r="H7" s="0" t="n">
        <v>7</v>
      </c>
      <c r="J7" s="0" t="n">
        <v>1.85</v>
      </c>
      <c r="K7" s="0" t="n">
        <v>75</v>
      </c>
      <c r="L7" s="0" t="n">
        <v>78</v>
      </c>
      <c r="M7" s="0" t="n">
        <v>83</v>
      </c>
      <c r="N7" s="0" t="n">
        <v>90</v>
      </c>
      <c r="O7" s="0" t="n">
        <v>69</v>
      </c>
      <c r="P7" s="0" t="n">
        <v>89</v>
      </c>
      <c r="Q7" s="0" t="n">
        <v>65</v>
      </c>
      <c r="R7" s="0" t="n">
        <v>93</v>
      </c>
      <c r="S7" s="0" t="n">
        <v>88</v>
      </c>
      <c r="T7" s="0" t="n">
        <v>58</v>
      </c>
      <c r="U7" s="0" t="n">
        <v>54</v>
      </c>
      <c r="V7" s="0" t="n">
        <v>54</v>
      </c>
      <c r="W7" s="0" t="n">
        <v>93</v>
      </c>
      <c r="X7" s="0" t="n">
        <v>58</v>
      </c>
      <c r="Y7" s="0" t="n">
        <v>58</v>
      </c>
      <c r="Z7" s="0" t="n">
        <v>98</v>
      </c>
      <c r="AA7" s="0" t="n">
        <v>85</v>
      </c>
      <c r="AB7" s="0" t="n">
        <v>80</v>
      </c>
      <c r="AC7" s="0" t="n">
        <v>74</v>
      </c>
      <c r="AD7" s="0" t="n">
        <v>72</v>
      </c>
      <c r="AE7" s="0" t="n">
        <v>9433</v>
      </c>
      <c r="AF7" s="0" t="n">
        <v>2003111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86</v>
      </c>
    </row>
    <row r="8" customFormat="false" ht="15" hidden="false" customHeight="false" outlineLevel="0" collapsed="false">
      <c r="A8" s="0" t="s">
        <v>50</v>
      </c>
      <c r="B8" s="0" t="s">
        <v>51</v>
      </c>
      <c r="C8" s="0" t="s">
        <v>52</v>
      </c>
      <c r="D8" s="0" t="s">
        <v>36</v>
      </c>
      <c r="E8" s="0" t="n">
        <v>10</v>
      </c>
      <c r="F8" s="0" t="n">
        <v>2005</v>
      </c>
      <c r="G8" s="0" t="n">
        <v>5</v>
      </c>
      <c r="H8" s="0" t="n">
        <v>23</v>
      </c>
      <c r="J8" s="0" t="n">
        <v>2.06</v>
      </c>
      <c r="K8" s="0" t="n">
        <v>102</v>
      </c>
      <c r="L8" s="0" t="n">
        <v>93</v>
      </c>
      <c r="M8" s="0" t="n">
        <v>70</v>
      </c>
      <c r="N8" s="0" t="n">
        <v>53</v>
      </c>
      <c r="O8" s="0" t="n">
        <v>75</v>
      </c>
      <c r="P8" s="0" t="n">
        <v>84</v>
      </c>
      <c r="Q8" s="0" t="n">
        <v>87</v>
      </c>
      <c r="R8" s="0" t="n">
        <v>58</v>
      </c>
      <c r="S8" s="0" t="n">
        <v>59</v>
      </c>
      <c r="T8" s="0" t="n">
        <v>84</v>
      </c>
      <c r="U8" s="0" t="n">
        <v>91</v>
      </c>
      <c r="V8" s="0" t="n">
        <v>90</v>
      </c>
      <c r="W8" s="0" t="n">
        <v>63</v>
      </c>
      <c r="X8" s="0" t="n">
        <v>94</v>
      </c>
      <c r="Y8" s="0" t="n">
        <v>73</v>
      </c>
      <c r="Z8" s="0" t="n">
        <v>64</v>
      </c>
      <c r="AA8" s="0" t="n">
        <v>87</v>
      </c>
      <c r="AB8" s="0" t="n">
        <v>92</v>
      </c>
      <c r="AC8" s="0" t="n">
        <v>67</v>
      </c>
      <c r="AD8" s="0" t="n">
        <v>68</v>
      </c>
      <c r="AE8" s="0" t="n">
        <v>9198</v>
      </c>
      <c r="AF8" s="0" t="n">
        <v>2005245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84</v>
      </c>
    </row>
    <row r="9" customFormat="false" ht="15" hidden="false" customHeight="false" outlineLevel="0" collapsed="false">
      <c r="A9" s="0" t="s">
        <v>53</v>
      </c>
      <c r="B9" s="0" t="s">
        <v>54</v>
      </c>
      <c r="C9" s="0" t="s">
        <v>52</v>
      </c>
      <c r="D9" s="0" t="s">
        <v>36</v>
      </c>
      <c r="E9" s="0" t="n">
        <v>21</v>
      </c>
      <c r="F9" s="0" t="n">
        <v>2002</v>
      </c>
      <c r="G9" s="0" t="n">
        <v>11</v>
      </c>
      <c r="H9" s="0" t="n">
        <v>22</v>
      </c>
      <c r="J9" s="0" t="n">
        <v>2.04</v>
      </c>
      <c r="K9" s="0" t="n">
        <v>99</v>
      </c>
      <c r="L9" s="0" t="n">
        <v>89</v>
      </c>
      <c r="M9" s="0" t="n">
        <v>69</v>
      </c>
      <c r="N9" s="0" t="n">
        <v>57</v>
      </c>
      <c r="O9" s="0" t="n">
        <v>60</v>
      </c>
      <c r="P9" s="0" t="n">
        <v>80</v>
      </c>
      <c r="Q9" s="0" t="n">
        <v>84</v>
      </c>
      <c r="R9" s="0" t="n">
        <v>57</v>
      </c>
      <c r="S9" s="0" t="n">
        <v>60</v>
      </c>
      <c r="T9" s="0" t="n">
        <v>82</v>
      </c>
      <c r="U9" s="0" t="n">
        <v>88</v>
      </c>
      <c r="V9" s="0" t="n">
        <v>86</v>
      </c>
      <c r="W9" s="0" t="n">
        <v>62</v>
      </c>
      <c r="X9" s="0" t="n">
        <v>90</v>
      </c>
      <c r="Y9" s="0" t="n">
        <v>69</v>
      </c>
      <c r="Z9" s="0" t="n">
        <v>59</v>
      </c>
      <c r="AA9" s="0" t="n">
        <v>86</v>
      </c>
      <c r="AB9" s="0" t="n">
        <v>88</v>
      </c>
      <c r="AC9" s="0" t="n">
        <v>70</v>
      </c>
      <c r="AD9" s="0" t="n">
        <v>73</v>
      </c>
      <c r="AE9" s="0" t="n">
        <v>9139</v>
      </c>
      <c r="AF9" s="0" t="n">
        <v>2004438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80</v>
      </c>
    </row>
    <row r="10" customFormat="false" ht="15" hidden="false" customHeight="false" outlineLevel="0" collapsed="false">
      <c r="A10" s="0" t="s">
        <v>55</v>
      </c>
      <c r="B10" s="0" t="s">
        <v>56</v>
      </c>
      <c r="C10" s="0" t="s">
        <v>35</v>
      </c>
      <c r="D10" s="0" t="s">
        <v>36</v>
      </c>
      <c r="E10" s="0" t="n">
        <v>3</v>
      </c>
      <c r="F10" s="0" t="n">
        <v>2006</v>
      </c>
      <c r="G10" s="0" t="n">
        <v>10</v>
      </c>
      <c r="H10" s="0" t="n">
        <v>30</v>
      </c>
      <c r="J10" s="0" t="n">
        <v>1.94</v>
      </c>
      <c r="K10" s="0" t="n">
        <v>87</v>
      </c>
      <c r="L10" s="0" t="n">
        <v>77</v>
      </c>
      <c r="M10" s="0" t="n">
        <v>82</v>
      </c>
      <c r="N10" s="0" t="n">
        <v>67</v>
      </c>
      <c r="O10" s="0" t="n">
        <v>69</v>
      </c>
      <c r="P10" s="0" t="n">
        <v>85</v>
      </c>
      <c r="Q10" s="0" t="n">
        <v>66</v>
      </c>
      <c r="R10" s="0" t="n">
        <v>90</v>
      </c>
      <c r="S10" s="0" t="n">
        <v>87</v>
      </c>
      <c r="T10" s="0" t="n">
        <v>57</v>
      </c>
      <c r="U10" s="0" t="n">
        <v>57</v>
      </c>
      <c r="V10" s="0" t="n">
        <v>57</v>
      </c>
      <c r="W10" s="0" t="n">
        <v>89</v>
      </c>
      <c r="X10" s="0" t="n">
        <v>57</v>
      </c>
      <c r="Y10" s="0" t="n">
        <v>57</v>
      </c>
      <c r="Z10" s="0" t="n">
        <v>93</v>
      </c>
      <c r="AA10" s="0" t="n">
        <v>84</v>
      </c>
      <c r="AB10" s="0" t="n">
        <v>79</v>
      </c>
      <c r="AC10" s="0" t="n">
        <v>72</v>
      </c>
      <c r="AD10" s="0" t="n">
        <v>71</v>
      </c>
      <c r="AE10" s="0" t="n">
        <v>5535</v>
      </c>
      <c r="AF10" s="0" t="n">
        <v>2001879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82</v>
      </c>
    </row>
    <row r="11" customFormat="false" ht="15" hidden="false" customHeight="false" outlineLevel="0" collapsed="false">
      <c r="A11" s="0" t="s">
        <v>57</v>
      </c>
      <c r="B11" s="0" t="s">
        <v>58</v>
      </c>
      <c r="C11" s="0" t="s">
        <v>39</v>
      </c>
      <c r="D11" s="0" t="s">
        <v>36</v>
      </c>
      <c r="E11" s="0" t="n">
        <v>33</v>
      </c>
      <c r="F11" s="0" t="n">
        <v>2001</v>
      </c>
      <c r="G11" s="0" t="n">
        <v>9</v>
      </c>
      <c r="H11" s="0" t="n">
        <v>21</v>
      </c>
      <c r="J11" s="0" t="n">
        <v>1.95</v>
      </c>
      <c r="K11" s="0" t="n">
        <v>110</v>
      </c>
      <c r="L11" s="0" t="n">
        <v>81</v>
      </c>
      <c r="M11" s="0" t="n">
        <v>73</v>
      </c>
      <c r="N11" s="0" t="n">
        <v>69</v>
      </c>
      <c r="O11" s="0" t="n">
        <v>85</v>
      </c>
      <c r="P11" s="0" t="n">
        <v>78</v>
      </c>
      <c r="Q11" s="0" t="n">
        <v>78</v>
      </c>
      <c r="R11" s="0" t="n">
        <v>66</v>
      </c>
      <c r="S11" s="0" t="n">
        <v>66</v>
      </c>
      <c r="T11" s="0" t="n">
        <v>77</v>
      </c>
      <c r="U11" s="0" t="n">
        <v>85</v>
      </c>
      <c r="V11" s="0" t="n">
        <v>76</v>
      </c>
      <c r="W11" s="0" t="n">
        <v>66</v>
      </c>
      <c r="X11" s="0" t="n">
        <v>87</v>
      </c>
      <c r="Y11" s="0" t="n">
        <v>70</v>
      </c>
      <c r="Z11" s="0" t="n">
        <v>67</v>
      </c>
      <c r="AA11" s="0" t="n">
        <v>83</v>
      </c>
      <c r="AB11" s="0" t="n">
        <v>86</v>
      </c>
      <c r="AC11" s="0" t="n">
        <v>72</v>
      </c>
      <c r="AD11" s="0" t="n">
        <v>73</v>
      </c>
      <c r="AE11" s="0" t="n">
        <v>9140</v>
      </c>
      <c r="AF11" s="0" t="n">
        <v>2004440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78</v>
      </c>
    </row>
    <row r="12" customFormat="false" ht="15" hidden="false" customHeight="false" outlineLevel="0" collapsed="false">
      <c r="A12" s="0" t="s">
        <v>59</v>
      </c>
      <c r="B12" s="0" t="s">
        <v>60</v>
      </c>
      <c r="C12" s="0" t="s">
        <v>45</v>
      </c>
      <c r="D12" s="0" t="s">
        <v>36</v>
      </c>
      <c r="E12" s="0" t="n">
        <v>12</v>
      </c>
      <c r="F12" s="0" t="n">
        <v>2004</v>
      </c>
      <c r="G12" s="0" t="n">
        <v>9</v>
      </c>
      <c r="H12" s="0" t="n">
        <v>2</v>
      </c>
      <c r="J12" s="0" t="n">
        <v>1.95</v>
      </c>
      <c r="K12" s="0" t="n">
        <v>92</v>
      </c>
      <c r="L12" s="0" t="n">
        <v>79</v>
      </c>
      <c r="M12" s="0" t="n">
        <v>79</v>
      </c>
      <c r="N12" s="0" t="n">
        <v>67</v>
      </c>
      <c r="O12" s="0" t="n">
        <v>84</v>
      </c>
      <c r="P12" s="0" t="n">
        <v>83</v>
      </c>
      <c r="Q12" s="0" t="n">
        <v>73</v>
      </c>
      <c r="R12" s="0" t="n">
        <v>76</v>
      </c>
      <c r="S12" s="0" t="n">
        <v>70</v>
      </c>
      <c r="T12" s="0" t="n">
        <v>61</v>
      </c>
      <c r="U12" s="0" t="n">
        <v>71</v>
      </c>
      <c r="V12" s="0" t="n">
        <v>66</v>
      </c>
      <c r="W12" s="0" t="n">
        <v>73</v>
      </c>
      <c r="X12" s="0" t="n">
        <v>68</v>
      </c>
      <c r="Y12" s="0" t="n">
        <v>68</v>
      </c>
      <c r="Z12" s="0" t="n">
        <v>81</v>
      </c>
      <c r="AA12" s="0" t="n">
        <v>82</v>
      </c>
      <c r="AB12" s="0" t="n">
        <v>78</v>
      </c>
      <c r="AC12" s="0" t="n">
        <v>75</v>
      </c>
      <c r="AD12" s="0" t="n">
        <v>77</v>
      </c>
      <c r="AE12" s="0" t="n">
        <v>5536</v>
      </c>
      <c r="AF12" s="0" t="n">
        <v>2001880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77</v>
      </c>
    </row>
    <row r="13" customFormat="false" ht="15" hidden="false" customHeight="false" outlineLevel="0" collapsed="false">
      <c r="A13" s="0" t="s">
        <v>61</v>
      </c>
      <c r="B13" s="0" t="s">
        <v>62</v>
      </c>
      <c r="C13" s="0" t="s">
        <v>35</v>
      </c>
      <c r="D13" s="0" t="s">
        <v>36</v>
      </c>
      <c r="E13" s="0" t="n">
        <v>55</v>
      </c>
      <c r="F13" s="0" t="n">
        <v>2002</v>
      </c>
      <c r="G13" s="0" t="n">
        <v>1</v>
      </c>
      <c r="H13" s="0" t="n">
        <v>16</v>
      </c>
      <c r="J13" s="0" t="n">
        <v>1.92</v>
      </c>
      <c r="K13" s="0" t="n">
        <v>87</v>
      </c>
      <c r="L13" s="0" t="n">
        <v>76</v>
      </c>
      <c r="M13" s="0" t="n">
        <v>81</v>
      </c>
      <c r="N13" s="0" t="n">
        <v>67</v>
      </c>
      <c r="O13" s="0" t="n">
        <v>69</v>
      </c>
      <c r="P13" s="0" t="n">
        <v>87</v>
      </c>
      <c r="Q13" s="0" t="n">
        <v>61</v>
      </c>
      <c r="R13" s="0" t="n">
        <v>92</v>
      </c>
      <c r="S13" s="0" t="n">
        <v>88</v>
      </c>
      <c r="T13" s="0" t="n">
        <v>56</v>
      </c>
      <c r="U13" s="0" t="n">
        <v>52</v>
      </c>
      <c r="V13" s="0" t="n">
        <v>52</v>
      </c>
      <c r="W13" s="0" t="n">
        <v>88</v>
      </c>
      <c r="X13" s="0" t="n">
        <v>56</v>
      </c>
      <c r="Y13" s="0" t="n">
        <v>56</v>
      </c>
      <c r="Z13" s="0" t="n">
        <v>90</v>
      </c>
      <c r="AA13" s="0" t="n">
        <v>83</v>
      </c>
      <c r="AB13" s="0" t="n">
        <v>78</v>
      </c>
      <c r="AC13" s="0" t="n">
        <v>75</v>
      </c>
      <c r="AD13" s="0" t="n">
        <v>77</v>
      </c>
      <c r="AE13" s="0" t="n">
        <v>9014</v>
      </c>
      <c r="AF13" s="0" t="n">
        <v>1400019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82</v>
      </c>
    </row>
    <row r="14" customFormat="false" ht="15" hidden="false" customHeight="false" outlineLevel="0" collapsed="false">
      <c r="A14" s="0" t="s">
        <v>63</v>
      </c>
      <c r="B14" s="0" t="s">
        <v>64</v>
      </c>
      <c r="C14" s="0" t="s">
        <v>45</v>
      </c>
      <c r="D14" s="0" t="s">
        <v>36</v>
      </c>
      <c r="E14" s="0" t="n">
        <v>15</v>
      </c>
      <c r="F14" s="0" t="n">
        <v>2005</v>
      </c>
      <c r="G14" s="0" t="n">
        <v>5</v>
      </c>
      <c r="H14" s="0" t="n">
        <v>16</v>
      </c>
      <c r="J14" s="0" t="n">
        <v>2.03</v>
      </c>
      <c r="K14" s="0" t="n">
        <v>93</v>
      </c>
      <c r="L14" s="0" t="n">
        <v>78</v>
      </c>
      <c r="M14" s="0" t="n">
        <v>78</v>
      </c>
      <c r="N14" s="0" t="n">
        <v>71</v>
      </c>
      <c r="O14" s="0" t="n">
        <v>60</v>
      </c>
      <c r="P14" s="0" t="n">
        <v>82</v>
      </c>
      <c r="Q14" s="0" t="n">
        <v>74</v>
      </c>
      <c r="R14" s="0" t="n">
        <v>73</v>
      </c>
      <c r="S14" s="0" t="n">
        <v>67</v>
      </c>
      <c r="T14" s="0" t="n">
        <v>60</v>
      </c>
      <c r="U14" s="0" t="n">
        <v>70</v>
      </c>
      <c r="V14" s="0" t="n">
        <v>65</v>
      </c>
      <c r="W14" s="0" t="n">
        <v>72</v>
      </c>
      <c r="X14" s="0" t="n">
        <v>67</v>
      </c>
      <c r="Y14" s="0" t="n">
        <v>67</v>
      </c>
      <c r="Z14" s="0" t="n">
        <v>82</v>
      </c>
      <c r="AA14" s="0" t="n">
        <v>81</v>
      </c>
      <c r="AB14" s="0" t="n">
        <v>77</v>
      </c>
      <c r="AC14" s="0" t="n">
        <v>70</v>
      </c>
      <c r="AD14" s="0" t="n">
        <v>70</v>
      </c>
      <c r="AE14" s="0" t="n">
        <v>5586</v>
      </c>
      <c r="AF14" s="0" t="n">
        <v>2002205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75</v>
      </c>
    </row>
    <row r="15" customFormat="false" ht="15" hidden="false" customHeight="false" outlineLevel="0" collapsed="false">
      <c r="A15" s="0" t="s">
        <v>65</v>
      </c>
      <c r="B15" s="0" t="s">
        <v>66</v>
      </c>
      <c r="C15" s="0" t="s">
        <v>42</v>
      </c>
      <c r="D15" s="0" t="s">
        <v>36</v>
      </c>
      <c r="E15" s="0" t="n">
        <v>5</v>
      </c>
      <c r="F15" s="0" t="n">
        <v>2007</v>
      </c>
      <c r="G15" s="0" t="n">
        <v>6</v>
      </c>
      <c r="H15" s="0" t="n">
        <v>12</v>
      </c>
      <c r="J15" s="0" t="n">
        <v>1.86</v>
      </c>
      <c r="K15" s="0" t="n">
        <v>82</v>
      </c>
      <c r="L15" s="0" t="n">
        <v>77</v>
      </c>
      <c r="M15" s="0" t="n">
        <v>80</v>
      </c>
      <c r="N15" s="0" t="n">
        <v>60</v>
      </c>
      <c r="O15" s="0" t="n">
        <v>60</v>
      </c>
      <c r="P15" s="0" t="n">
        <v>84</v>
      </c>
      <c r="Q15" s="0" t="n">
        <v>65</v>
      </c>
      <c r="R15" s="0" t="n">
        <v>87</v>
      </c>
      <c r="S15" s="0" t="n">
        <v>71</v>
      </c>
      <c r="T15" s="0" t="n">
        <v>57</v>
      </c>
      <c r="U15" s="0" t="n">
        <v>56</v>
      </c>
      <c r="V15" s="0" t="n">
        <v>56</v>
      </c>
      <c r="W15" s="0" t="n">
        <v>77</v>
      </c>
      <c r="X15" s="0" t="n">
        <v>55</v>
      </c>
      <c r="Y15" s="0" t="n">
        <v>60</v>
      </c>
      <c r="Z15" s="0" t="n">
        <v>93</v>
      </c>
      <c r="AA15" s="0" t="n">
        <v>82</v>
      </c>
      <c r="AB15" s="0" t="n">
        <v>76</v>
      </c>
      <c r="AC15" s="0" t="n">
        <v>70</v>
      </c>
      <c r="AD15" s="0" t="n">
        <v>70</v>
      </c>
      <c r="AE15" s="0" t="n">
        <v>5560</v>
      </c>
      <c r="AF15" s="0" t="n">
        <v>2002110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76</v>
      </c>
    </row>
    <row r="16" customFormat="false" ht="15" hidden="false" customHeight="false" outlineLevel="0" collapsed="false">
      <c r="A16" s="0" t="s">
        <v>67</v>
      </c>
      <c r="B16" s="0" t="s">
        <v>68</v>
      </c>
      <c r="C16" s="0" t="s">
        <v>39</v>
      </c>
      <c r="D16" s="0" t="s">
        <v>36</v>
      </c>
      <c r="E16" s="0" t="n">
        <v>7</v>
      </c>
      <c r="F16" s="0" t="n">
        <v>2002</v>
      </c>
      <c r="G16" s="0" t="n">
        <v>9</v>
      </c>
      <c r="H16" s="0" t="n">
        <v>2</v>
      </c>
      <c r="J16" s="0" t="n">
        <v>2.07</v>
      </c>
      <c r="K16" s="0" t="n">
        <v>96</v>
      </c>
      <c r="L16" s="0" t="n">
        <v>80</v>
      </c>
      <c r="M16" s="0" t="n">
        <v>72</v>
      </c>
      <c r="N16" s="0" t="n">
        <v>68</v>
      </c>
      <c r="O16" s="0" t="n">
        <v>69</v>
      </c>
      <c r="P16" s="0" t="n">
        <v>77</v>
      </c>
      <c r="Q16" s="0" t="n">
        <v>77</v>
      </c>
      <c r="R16" s="0" t="n">
        <v>63</v>
      </c>
      <c r="S16" s="0" t="n">
        <v>65</v>
      </c>
      <c r="T16" s="0" t="n">
        <v>76</v>
      </c>
      <c r="U16" s="0" t="n">
        <v>83</v>
      </c>
      <c r="V16" s="0" t="n">
        <v>78</v>
      </c>
      <c r="W16" s="0" t="n">
        <v>65</v>
      </c>
      <c r="X16" s="0" t="n">
        <v>83</v>
      </c>
      <c r="Y16" s="0" t="n">
        <v>84</v>
      </c>
      <c r="Z16" s="0" t="n">
        <v>67</v>
      </c>
      <c r="AA16" s="0" t="n">
        <v>82</v>
      </c>
      <c r="AB16" s="0" t="n">
        <v>82</v>
      </c>
      <c r="AC16" s="0" t="n">
        <v>70</v>
      </c>
      <c r="AD16" s="0" t="n">
        <v>72</v>
      </c>
      <c r="AE16" s="0" t="n">
        <v>5161</v>
      </c>
      <c r="AF16" s="0" t="n">
        <v>2001690</v>
      </c>
      <c r="AG16" s="0" t="n">
        <f aca="false">IF(ISNA(MATCH($C16,_Overall_Model!$A$2:$A$6,0)),"",ROUND(SUMPRODUCT(L16:AD16,INDEX(_Overall_Model!$B$2:$T$6,MATCH($C16,_Overall_Model!$A$2:$A$6,0),0))+INDEX(_Overall_Model!$U$2:$U$6,MATCH($C16,_Overall_Model!$A$2:$A$6,0))+INDEX(_Overall_Model!$V$2:$V$6,MATCH($C16,_Overall_Model!$A$2:$A$6,0))*IF(Q16&gt;=75,99,IF(Q16&gt;=60,50,0))+INDEX(_Overall_Model!$W$2:$W$6,MATCH($C16,_Overall_Model!$A$2:$A$6,0))*J16+INDEX(_Overall_Model!$X$2:$X$6,MATCH($C16,_Overall_Model!$A$2:$A$6,0))*K16,0))</f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69</v>
      </c>
      <c r="B2" s="0" t="s">
        <v>70</v>
      </c>
      <c r="C2" s="0" t="s">
        <v>35</v>
      </c>
      <c r="D2" s="0" t="s">
        <v>36</v>
      </c>
      <c r="E2" s="0" t="n">
        <v>33</v>
      </c>
      <c r="F2" s="0" t="n">
        <v>1999</v>
      </c>
      <c r="G2" s="0" t="n">
        <v>2</v>
      </c>
      <c r="H2" s="0" t="n">
        <v>21</v>
      </c>
      <c r="J2" s="0" t="n">
        <v>1.9</v>
      </c>
      <c r="K2" s="0" t="n">
        <v>86</v>
      </c>
      <c r="L2" s="0" t="n">
        <v>82</v>
      </c>
      <c r="M2" s="0" t="n">
        <v>87</v>
      </c>
      <c r="N2" s="0" t="n">
        <v>94</v>
      </c>
      <c r="O2" s="0" t="n">
        <v>69</v>
      </c>
      <c r="P2" s="0" t="n">
        <v>93</v>
      </c>
      <c r="Q2" s="0" t="n">
        <v>66</v>
      </c>
      <c r="R2" s="0" t="n">
        <v>96</v>
      </c>
      <c r="S2" s="0" t="n">
        <v>92</v>
      </c>
      <c r="T2" s="0" t="n">
        <v>61</v>
      </c>
      <c r="U2" s="0" t="n">
        <v>56</v>
      </c>
      <c r="V2" s="0" t="n">
        <v>56</v>
      </c>
      <c r="W2" s="0" t="n">
        <v>95</v>
      </c>
      <c r="X2" s="0" t="n">
        <v>63</v>
      </c>
      <c r="Y2" s="0" t="n">
        <v>62</v>
      </c>
      <c r="Z2" s="0" t="n">
        <v>94</v>
      </c>
      <c r="AA2" s="0" t="n">
        <v>87</v>
      </c>
      <c r="AB2" s="0" t="n">
        <v>85</v>
      </c>
      <c r="AC2" s="0" t="n">
        <v>81</v>
      </c>
      <c r="AD2" s="0" t="n">
        <v>82</v>
      </c>
      <c r="AE2" s="0" t="n">
        <v>9058</v>
      </c>
      <c r="AF2" s="0" t="n">
        <v>2003902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91</v>
      </c>
    </row>
    <row r="3" customFormat="false" ht="15" hidden="false" customHeight="false" outlineLevel="0" collapsed="false">
      <c r="A3" s="0" t="s">
        <v>71</v>
      </c>
      <c r="B3" s="0" t="s">
        <v>72</v>
      </c>
      <c r="C3" s="0" t="s">
        <v>45</v>
      </c>
      <c r="D3" s="0" t="s">
        <v>36</v>
      </c>
      <c r="E3" s="0" t="n">
        <v>21</v>
      </c>
      <c r="F3" s="0" t="n">
        <v>1997</v>
      </c>
      <c r="G3" s="0" t="n">
        <v>8</v>
      </c>
      <c r="H3" s="0" t="n">
        <v>13</v>
      </c>
      <c r="J3" s="0" t="n">
        <v>1.98</v>
      </c>
      <c r="K3" s="0" t="n">
        <v>88</v>
      </c>
      <c r="L3" s="0" t="n">
        <v>88</v>
      </c>
      <c r="M3" s="0" t="n">
        <v>85</v>
      </c>
      <c r="N3" s="0" t="n">
        <v>85</v>
      </c>
      <c r="O3" s="0" t="n">
        <v>88</v>
      </c>
      <c r="P3" s="0" t="n">
        <v>92</v>
      </c>
      <c r="Q3" s="0" t="n">
        <v>78</v>
      </c>
      <c r="R3" s="0" t="n">
        <v>80</v>
      </c>
      <c r="S3" s="0" t="n">
        <v>74</v>
      </c>
      <c r="T3" s="0" t="n">
        <v>67</v>
      </c>
      <c r="U3" s="0" t="n">
        <v>75</v>
      </c>
      <c r="V3" s="0" t="n">
        <v>70</v>
      </c>
      <c r="W3" s="0" t="n">
        <v>77</v>
      </c>
      <c r="X3" s="0" t="n">
        <v>75</v>
      </c>
      <c r="Y3" s="0" t="n">
        <v>69</v>
      </c>
      <c r="Z3" s="0" t="n">
        <v>85</v>
      </c>
      <c r="AA3" s="0" t="n">
        <v>86</v>
      </c>
      <c r="AB3" s="0" t="n">
        <v>85</v>
      </c>
      <c r="AC3" s="0" t="n">
        <v>80</v>
      </c>
      <c r="AD3" s="0" t="n">
        <v>82</v>
      </c>
      <c r="AE3" s="0" t="n">
        <v>5139</v>
      </c>
      <c r="AF3" s="0" t="n">
        <v>2001580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84</v>
      </c>
    </row>
    <row r="4" customFormat="false" ht="15" hidden="false" customHeight="false" outlineLevel="0" collapsed="false">
      <c r="A4" s="0" t="s">
        <v>73</v>
      </c>
      <c r="B4" s="0" t="s">
        <v>74</v>
      </c>
      <c r="C4" s="0" t="s">
        <v>52</v>
      </c>
      <c r="D4" s="0" t="s">
        <v>36</v>
      </c>
      <c r="E4" s="0" t="n">
        <v>29</v>
      </c>
      <c r="F4" s="0" t="n">
        <v>1999</v>
      </c>
      <c r="G4" s="0" t="n">
        <v>8</v>
      </c>
      <c r="H4" s="0" t="n">
        <v>24</v>
      </c>
      <c r="J4" s="0" t="n">
        <v>2.05</v>
      </c>
      <c r="K4" s="0" t="n">
        <v>105</v>
      </c>
      <c r="L4" s="0" t="n">
        <v>90</v>
      </c>
      <c r="M4" s="0" t="n">
        <v>73</v>
      </c>
      <c r="N4" s="0" t="n">
        <v>61</v>
      </c>
      <c r="O4" s="0" t="n">
        <v>69</v>
      </c>
      <c r="P4" s="0" t="n">
        <v>81</v>
      </c>
      <c r="Q4" s="0" t="n">
        <v>87</v>
      </c>
      <c r="R4" s="0" t="n">
        <v>59</v>
      </c>
      <c r="S4" s="0" t="n">
        <v>62</v>
      </c>
      <c r="T4" s="0" t="n">
        <v>84</v>
      </c>
      <c r="U4" s="0" t="n">
        <v>93</v>
      </c>
      <c r="V4" s="0" t="n">
        <v>88</v>
      </c>
      <c r="W4" s="0" t="n">
        <v>64</v>
      </c>
      <c r="X4" s="0" t="n">
        <v>95</v>
      </c>
      <c r="Y4" s="0" t="n">
        <v>94</v>
      </c>
      <c r="Z4" s="0" t="n">
        <v>58</v>
      </c>
      <c r="AA4" s="0" t="n">
        <v>88</v>
      </c>
      <c r="AB4" s="0" t="n">
        <v>93</v>
      </c>
      <c r="AC4" s="0" t="n">
        <v>73</v>
      </c>
      <c r="AD4" s="0" t="n">
        <v>76</v>
      </c>
      <c r="AE4" s="0" t="n">
        <v>9047</v>
      </c>
      <c r="AF4" s="0" t="n">
        <v>2003185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88</v>
      </c>
    </row>
    <row r="5" customFormat="false" ht="15" hidden="false" customHeight="false" outlineLevel="0" collapsed="false">
      <c r="A5" s="0" t="s">
        <v>75</v>
      </c>
      <c r="B5" s="0" t="s">
        <v>76</v>
      </c>
      <c r="C5" s="0" t="s">
        <v>35</v>
      </c>
      <c r="D5" s="0" t="s">
        <v>36</v>
      </c>
      <c r="E5" s="0" t="n">
        <v>4</v>
      </c>
      <c r="F5" s="0" t="n">
        <v>1997</v>
      </c>
      <c r="G5" s="0" t="n">
        <v>10</v>
      </c>
      <c r="H5" s="0" t="n">
        <v>26</v>
      </c>
      <c r="J5" s="0" t="n">
        <v>1.87</v>
      </c>
      <c r="K5" s="0" t="n">
        <v>83</v>
      </c>
      <c r="L5" s="0" t="n">
        <v>79</v>
      </c>
      <c r="M5" s="0" t="n">
        <v>84</v>
      </c>
      <c r="N5" s="0" t="n">
        <v>67</v>
      </c>
      <c r="O5" s="0" t="n">
        <v>69</v>
      </c>
      <c r="P5" s="0" t="n">
        <v>90</v>
      </c>
      <c r="Q5" s="0" t="n">
        <v>64</v>
      </c>
      <c r="R5" s="0" t="n">
        <v>98</v>
      </c>
      <c r="S5" s="0" t="n">
        <v>98</v>
      </c>
      <c r="T5" s="0" t="n">
        <v>59</v>
      </c>
      <c r="U5" s="0" t="n">
        <v>55</v>
      </c>
      <c r="V5" s="0" t="n">
        <v>55</v>
      </c>
      <c r="W5" s="0" t="n">
        <v>94</v>
      </c>
      <c r="X5" s="0" t="n">
        <v>59</v>
      </c>
      <c r="Y5" s="0" t="n">
        <v>59</v>
      </c>
      <c r="Z5" s="0" t="n">
        <v>95</v>
      </c>
      <c r="AA5" s="0" t="n">
        <v>86</v>
      </c>
      <c r="AB5" s="0" t="n">
        <v>81</v>
      </c>
      <c r="AC5" s="0" t="n">
        <v>79</v>
      </c>
      <c r="AD5" s="0" t="n">
        <v>79</v>
      </c>
      <c r="AE5" s="0" t="n">
        <v>5118</v>
      </c>
      <c r="AF5" s="0" t="n">
        <v>2001540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88</v>
      </c>
    </row>
    <row r="6" customFormat="false" ht="15" hidden="false" customHeight="false" outlineLevel="0" collapsed="false">
      <c r="A6" s="0" t="s">
        <v>77</v>
      </c>
      <c r="B6" s="0" t="s">
        <v>78</v>
      </c>
      <c r="C6" s="0" t="s">
        <v>45</v>
      </c>
      <c r="D6" s="0" t="s">
        <v>36</v>
      </c>
      <c r="E6" s="0" t="n">
        <v>17</v>
      </c>
      <c r="F6" s="0" t="n">
        <v>1992</v>
      </c>
      <c r="G6" s="0" t="n">
        <v>3</v>
      </c>
      <c r="H6" s="0" t="n">
        <v>17</v>
      </c>
      <c r="J6" s="0" t="n">
        <v>2</v>
      </c>
      <c r="K6" s="0" t="n">
        <v>91</v>
      </c>
      <c r="L6" s="0" t="n">
        <v>82</v>
      </c>
      <c r="M6" s="0" t="n">
        <v>82</v>
      </c>
      <c r="N6" s="0" t="n">
        <v>87</v>
      </c>
      <c r="O6" s="0" t="n">
        <v>90</v>
      </c>
      <c r="P6" s="0" t="n">
        <v>86</v>
      </c>
      <c r="Q6" s="0" t="n">
        <v>76</v>
      </c>
      <c r="R6" s="0" t="n">
        <v>85</v>
      </c>
      <c r="S6" s="0" t="n">
        <v>78</v>
      </c>
      <c r="T6" s="0" t="n">
        <v>64</v>
      </c>
      <c r="U6" s="0" t="n">
        <v>74</v>
      </c>
      <c r="V6" s="0" t="n">
        <v>69</v>
      </c>
      <c r="W6" s="0" t="n">
        <v>76</v>
      </c>
      <c r="X6" s="0" t="n">
        <v>71</v>
      </c>
      <c r="Y6" s="0" t="n">
        <v>69</v>
      </c>
      <c r="Z6" s="0" t="n">
        <v>79</v>
      </c>
      <c r="AA6" s="0" t="n">
        <v>82</v>
      </c>
      <c r="AB6" s="0" t="n">
        <v>81</v>
      </c>
      <c r="AC6" s="0" t="n">
        <v>82</v>
      </c>
      <c r="AD6" s="0" t="n">
        <v>85</v>
      </c>
      <c r="AE6" s="0" t="n">
        <v>5034</v>
      </c>
      <c r="AF6" s="0" t="n">
        <v>56406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83</v>
      </c>
    </row>
    <row r="7" customFormat="false" ht="15" hidden="false" customHeight="false" outlineLevel="0" collapsed="false">
      <c r="A7" s="0" t="s">
        <v>79</v>
      </c>
      <c r="B7" s="0" t="s">
        <v>80</v>
      </c>
      <c r="C7" s="0" t="s">
        <v>42</v>
      </c>
      <c r="D7" s="0" t="s">
        <v>36</v>
      </c>
      <c r="E7" s="0" t="n">
        <v>9</v>
      </c>
      <c r="F7" s="0" t="n">
        <v>2003</v>
      </c>
      <c r="G7" s="0" t="n">
        <v>1</v>
      </c>
      <c r="H7" s="0" t="n">
        <v>23</v>
      </c>
      <c r="J7" s="0" t="n">
        <v>1.93</v>
      </c>
      <c r="K7" s="0" t="n">
        <v>86</v>
      </c>
      <c r="L7" s="0" t="n">
        <v>83</v>
      </c>
      <c r="M7" s="0" t="n">
        <v>86</v>
      </c>
      <c r="N7" s="0" t="n">
        <v>88</v>
      </c>
      <c r="O7" s="0" t="n">
        <v>86</v>
      </c>
      <c r="P7" s="0" t="n">
        <v>87</v>
      </c>
      <c r="Q7" s="0" t="n">
        <v>70</v>
      </c>
      <c r="R7" s="0" t="n">
        <v>85</v>
      </c>
      <c r="S7" s="0" t="n">
        <v>76</v>
      </c>
      <c r="T7" s="0" t="n">
        <v>62</v>
      </c>
      <c r="U7" s="0" t="n">
        <v>64</v>
      </c>
      <c r="V7" s="0" t="n">
        <v>64</v>
      </c>
      <c r="W7" s="0" t="n">
        <v>81</v>
      </c>
      <c r="X7" s="0" t="n">
        <v>59</v>
      </c>
      <c r="Y7" s="0" t="n">
        <v>66</v>
      </c>
      <c r="Z7" s="0" t="n">
        <v>89</v>
      </c>
      <c r="AA7" s="0" t="n">
        <v>86</v>
      </c>
      <c r="AB7" s="0" t="n">
        <v>80</v>
      </c>
      <c r="AC7" s="0" t="n">
        <v>79</v>
      </c>
      <c r="AD7" s="0" t="n">
        <v>81</v>
      </c>
      <c r="AE7" s="0" t="n">
        <v>9046</v>
      </c>
      <c r="AF7" s="0" t="n">
        <v>2003184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85</v>
      </c>
    </row>
    <row r="8" customFormat="false" ht="15" hidden="false" customHeight="false" outlineLevel="0" collapsed="false">
      <c r="A8" s="0" t="s">
        <v>81</v>
      </c>
      <c r="B8" s="0" t="s">
        <v>82</v>
      </c>
      <c r="C8" s="0" t="s">
        <v>39</v>
      </c>
      <c r="D8" s="0" t="s">
        <v>36</v>
      </c>
      <c r="E8" s="0" t="n">
        <v>11</v>
      </c>
      <c r="F8" s="0" t="n">
        <v>1994</v>
      </c>
      <c r="G8" s="0" t="n">
        <v>11</v>
      </c>
      <c r="H8" s="0" t="n">
        <v>30</v>
      </c>
      <c r="J8" s="0" t="n">
        <v>2.05</v>
      </c>
      <c r="K8" s="0" t="n">
        <v>108</v>
      </c>
      <c r="L8" s="0" t="n">
        <v>87</v>
      </c>
      <c r="M8" s="0" t="n">
        <v>73</v>
      </c>
      <c r="N8" s="0" t="n">
        <v>69</v>
      </c>
      <c r="O8" s="0" t="n">
        <v>69</v>
      </c>
      <c r="P8" s="0" t="n">
        <v>84</v>
      </c>
      <c r="Q8" s="0" t="n">
        <v>78</v>
      </c>
      <c r="R8" s="0" t="n">
        <v>64</v>
      </c>
      <c r="S8" s="0" t="n">
        <v>68</v>
      </c>
      <c r="T8" s="0" t="n">
        <v>79</v>
      </c>
      <c r="U8" s="0" t="n">
        <v>85</v>
      </c>
      <c r="V8" s="0" t="n">
        <v>76</v>
      </c>
      <c r="W8" s="0" t="n">
        <v>66</v>
      </c>
      <c r="X8" s="0" t="n">
        <v>87</v>
      </c>
      <c r="Y8" s="0" t="n">
        <v>70</v>
      </c>
      <c r="Z8" s="0" t="n">
        <v>62</v>
      </c>
      <c r="AA8" s="0" t="n">
        <v>80</v>
      </c>
      <c r="AB8" s="0" t="n">
        <v>86</v>
      </c>
      <c r="AC8" s="0" t="n">
        <v>75</v>
      </c>
      <c r="AD8" s="0" t="n">
        <v>78</v>
      </c>
      <c r="AE8" s="0" t="n">
        <v>5119</v>
      </c>
      <c r="AF8" s="0" t="n">
        <v>2001541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79</v>
      </c>
    </row>
    <row r="9" customFormat="false" ht="15" hidden="false" customHeight="false" outlineLevel="0" collapsed="false">
      <c r="A9" s="0" t="s">
        <v>83</v>
      </c>
      <c r="B9" s="0" t="s">
        <v>84</v>
      </c>
      <c r="C9" s="0" t="s">
        <v>35</v>
      </c>
      <c r="D9" s="0" t="s">
        <v>36</v>
      </c>
      <c r="E9" s="0" t="n">
        <v>0</v>
      </c>
      <c r="F9" s="0" t="n">
        <v>2001</v>
      </c>
      <c r="G9" s="0" t="n">
        <v>6</v>
      </c>
      <c r="H9" s="0" t="n">
        <v>14</v>
      </c>
      <c r="J9" s="0" t="n">
        <v>1.88</v>
      </c>
      <c r="K9" s="0" t="n">
        <v>85</v>
      </c>
      <c r="L9" s="0" t="n">
        <v>75</v>
      </c>
      <c r="M9" s="0" t="n">
        <v>80</v>
      </c>
      <c r="N9" s="0" t="n">
        <v>67</v>
      </c>
      <c r="O9" s="0" t="n">
        <v>60</v>
      </c>
      <c r="P9" s="0" t="n">
        <v>86</v>
      </c>
      <c r="Q9" s="0" t="n">
        <v>60</v>
      </c>
      <c r="R9" s="0" t="n">
        <v>91</v>
      </c>
      <c r="S9" s="0" t="n">
        <v>87</v>
      </c>
      <c r="T9" s="0" t="n">
        <v>55</v>
      </c>
      <c r="U9" s="0" t="n">
        <v>51</v>
      </c>
      <c r="V9" s="0" t="n">
        <v>51</v>
      </c>
      <c r="W9" s="0" t="n">
        <v>87</v>
      </c>
      <c r="X9" s="0" t="n">
        <v>55</v>
      </c>
      <c r="Y9" s="0" t="n">
        <v>55</v>
      </c>
      <c r="Z9" s="0" t="n">
        <v>89</v>
      </c>
      <c r="AA9" s="0" t="n">
        <v>82</v>
      </c>
      <c r="AB9" s="0" t="n">
        <v>77</v>
      </c>
      <c r="AC9" s="0" t="n">
        <v>74</v>
      </c>
      <c r="AD9" s="0" t="n">
        <v>76</v>
      </c>
      <c r="AE9" s="0" t="n">
        <v>5550</v>
      </c>
      <c r="AF9" s="0" t="n">
        <v>2001992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81</v>
      </c>
    </row>
    <row r="10" customFormat="false" ht="15" hidden="false" customHeight="false" outlineLevel="0" collapsed="false">
      <c r="A10" s="0" t="s">
        <v>85</v>
      </c>
      <c r="B10" s="0" t="s">
        <v>86</v>
      </c>
      <c r="C10" s="0" t="s">
        <v>39</v>
      </c>
      <c r="D10" s="0" t="s">
        <v>36</v>
      </c>
      <c r="E10" s="0" t="n">
        <v>2</v>
      </c>
      <c r="F10" s="0" t="n">
        <v>2000</v>
      </c>
      <c r="G10" s="0" t="n">
        <v>2</v>
      </c>
      <c r="H10" s="0" t="n">
        <v>4</v>
      </c>
      <c r="J10" s="0" t="n">
        <v>2.01</v>
      </c>
      <c r="K10" s="0" t="n">
        <v>99</v>
      </c>
      <c r="L10" s="0" t="n">
        <v>80</v>
      </c>
      <c r="M10" s="0" t="n">
        <v>72</v>
      </c>
      <c r="N10" s="0" t="n">
        <v>75</v>
      </c>
      <c r="O10" s="0" t="n">
        <v>69</v>
      </c>
      <c r="P10" s="0" t="n">
        <v>77</v>
      </c>
      <c r="Q10" s="0" t="n">
        <v>77</v>
      </c>
      <c r="R10" s="0" t="n">
        <v>63</v>
      </c>
      <c r="S10" s="0" t="n">
        <v>65</v>
      </c>
      <c r="T10" s="0" t="n">
        <v>76</v>
      </c>
      <c r="U10" s="0" t="n">
        <v>81</v>
      </c>
      <c r="V10" s="0" t="n">
        <v>75</v>
      </c>
      <c r="W10" s="0" t="n">
        <v>65</v>
      </c>
      <c r="X10" s="0" t="n">
        <v>83</v>
      </c>
      <c r="Y10" s="0" t="n">
        <v>69</v>
      </c>
      <c r="Z10" s="0" t="n">
        <v>67</v>
      </c>
      <c r="AA10" s="0" t="n">
        <v>82</v>
      </c>
      <c r="AB10" s="0" t="n">
        <v>82</v>
      </c>
      <c r="AC10" s="0" t="n">
        <v>71</v>
      </c>
      <c r="AD10" s="0" t="n">
        <v>72</v>
      </c>
      <c r="AE10" s="0" t="n">
        <v>9045</v>
      </c>
      <c r="AF10" s="0" t="n">
        <v>2003183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76</v>
      </c>
    </row>
    <row r="11" customFormat="false" ht="15" hidden="false" customHeight="false" outlineLevel="0" collapsed="false">
      <c r="A11" s="0" t="s">
        <v>87</v>
      </c>
      <c r="B11" s="0" t="s">
        <v>88</v>
      </c>
      <c r="C11" s="0" t="s">
        <v>35</v>
      </c>
      <c r="D11" s="0" t="s">
        <v>36</v>
      </c>
      <c r="E11" s="0" t="n">
        <v>13</v>
      </c>
      <c r="F11" s="0" t="n">
        <v>2008</v>
      </c>
      <c r="G11" s="0" t="n">
        <v>3</v>
      </c>
      <c r="H11" s="0" t="n">
        <v>12</v>
      </c>
      <c r="J11" s="0" t="n">
        <v>1.83</v>
      </c>
      <c r="K11" s="0" t="n">
        <v>75</v>
      </c>
      <c r="L11" s="0" t="n">
        <v>71</v>
      </c>
      <c r="M11" s="0" t="n">
        <v>76</v>
      </c>
      <c r="N11" s="0" t="n">
        <v>60</v>
      </c>
      <c r="O11" s="0" t="n">
        <v>69</v>
      </c>
      <c r="P11" s="0" t="n">
        <v>83</v>
      </c>
      <c r="Q11" s="0" t="n">
        <v>57</v>
      </c>
      <c r="R11" s="0" t="n">
        <v>88</v>
      </c>
      <c r="S11" s="0" t="n">
        <v>81</v>
      </c>
      <c r="T11" s="0" t="n">
        <v>51</v>
      </c>
      <c r="U11" s="0" t="n">
        <v>50</v>
      </c>
      <c r="V11" s="0" t="n">
        <v>50</v>
      </c>
      <c r="W11" s="0" t="n">
        <v>87</v>
      </c>
      <c r="X11" s="0" t="n">
        <v>51</v>
      </c>
      <c r="Y11" s="0" t="n">
        <v>51</v>
      </c>
      <c r="Z11" s="0" t="n">
        <v>93</v>
      </c>
      <c r="AA11" s="0" t="n">
        <v>78</v>
      </c>
      <c r="AB11" s="0" t="n">
        <v>73</v>
      </c>
      <c r="AC11" s="0" t="n">
        <v>66</v>
      </c>
      <c r="AD11" s="0" t="n">
        <v>66</v>
      </c>
      <c r="AE11" s="0" t="n">
        <v>5089</v>
      </c>
      <c r="AF11" s="0" t="n">
        <v>2000803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76</v>
      </c>
    </row>
    <row r="12" customFormat="false" ht="15" hidden="false" customHeight="false" outlineLevel="0" collapsed="false">
      <c r="A12" s="0" t="s">
        <v>89</v>
      </c>
      <c r="B12" s="0" t="s">
        <v>90</v>
      </c>
      <c r="C12" s="0" t="s">
        <v>42</v>
      </c>
      <c r="D12" s="0" t="s">
        <v>36</v>
      </c>
      <c r="E12" s="0" t="n">
        <v>5</v>
      </c>
      <c r="F12" s="0" t="n">
        <v>2006</v>
      </c>
      <c r="G12" s="0" t="n">
        <v>11</v>
      </c>
      <c r="H12" s="0" t="n">
        <v>7</v>
      </c>
      <c r="J12" s="0" t="n">
        <v>1.96</v>
      </c>
      <c r="K12" s="0" t="n">
        <v>92</v>
      </c>
      <c r="L12" s="0" t="n">
        <v>72</v>
      </c>
      <c r="M12" s="0" t="n">
        <v>75</v>
      </c>
      <c r="N12" s="0" t="n">
        <v>77</v>
      </c>
      <c r="O12" s="0" t="n">
        <v>77</v>
      </c>
      <c r="P12" s="0" t="n">
        <v>76</v>
      </c>
      <c r="Q12" s="0" t="n">
        <v>62</v>
      </c>
      <c r="R12" s="0" t="n">
        <v>76</v>
      </c>
      <c r="S12" s="0" t="n">
        <v>65</v>
      </c>
      <c r="T12" s="0" t="n">
        <v>52</v>
      </c>
      <c r="U12" s="0" t="n">
        <v>55</v>
      </c>
      <c r="V12" s="0" t="n">
        <v>55</v>
      </c>
      <c r="W12" s="0" t="n">
        <v>72</v>
      </c>
      <c r="X12" s="0" t="n">
        <v>50</v>
      </c>
      <c r="Y12" s="0" t="n">
        <v>55</v>
      </c>
      <c r="Z12" s="0" t="n">
        <v>84</v>
      </c>
      <c r="AA12" s="0" t="n">
        <v>77</v>
      </c>
      <c r="AB12" s="0" t="n">
        <v>71</v>
      </c>
      <c r="AC12" s="0" t="n">
        <v>65</v>
      </c>
      <c r="AD12" s="0" t="n">
        <v>65</v>
      </c>
      <c r="AE12" s="0" t="n">
        <v>5087</v>
      </c>
      <c r="AF12" s="0" t="n">
        <v>2000797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91</v>
      </c>
      <c r="B2" s="0" t="s">
        <v>92</v>
      </c>
      <c r="C2" s="0" t="s">
        <v>52</v>
      </c>
      <c r="D2" s="0" t="s">
        <v>36</v>
      </c>
      <c r="E2" s="0" t="n">
        <v>9</v>
      </c>
      <c r="F2" s="0" t="n">
        <v>2002</v>
      </c>
      <c r="G2" s="0" t="n">
        <v>12</v>
      </c>
      <c r="H2" s="0" t="n">
        <v>14</v>
      </c>
      <c r="J2" s="0" t="n">
        <v>2.06</v>
      </c>
      <c r="K2" s="0" t="n">
        <v>111</v>
      </c>
      <c r="L2" s="0" t="n">
        <v>99</v>
      </c>
      <c r="M2" s="0" t="n">
        <v>76</v>
      </c>
      <c r="N2" s="0" t="n">
        <v>64</v>
      </c>
      <c r="O2" s="0" t="n">
        <v>77</v>
      </c>
      <c r="P2" s="0" t="n">
        <v>94</v>
      </c>
      <c r="Q2" s="0" t="n">
        <v>89</v>
      </c>
      <c r="R2" s="0" t="n">
        <v>60</v>
      </c>
      <c r="S2" s="0" t="n">
        <v>63</v>
      </c>
      <c r="T2" s="0" t="n">
        <v>90</v>
      </c>
      <c r="U2" s="0" t="n">
        <v>96</v>
      </c>
      <c r="V2" s="0" t="n">
        <v>92</v>
      </c>
      <c r="W2" s="0" t="n">
        <v>65</v>
      </c>
      <c r="X2" s="0" t="n">
        <v>96</v>
      </c>
      <c r="Y2" s="0" t="n">
        <v>98</v>
      </c>
      <c r="Z2" s="0" t="n">
        <v>59</v>
      </c>
      <c r="AA2" s="0" t="n">
        <v>89</v>
      </c>
      <c r="AB2" s="0" t="n">
        <v>94</v>
      </c>
      <c r="AC2" s="0" t="n">
        <v>74</v>
      </c>
      <c r="AD2" s="0" t="n">
        <v>79</v>
      </c>
      <c r="AE2" s="0" t="n">
        <v>9093</v>
      </c>
      <c r="AF2" s="0" t="n">
        <v>2004161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94</v>
      </c>
    </row>
    <row r="3" customFormat="false" ht="15" hidden="false" customHeight="false" outlineLevel="0" collapsed="false">
      <c r="A3" s="0" t="s">
        <v>93</v>
      </c>
      <c r="B3" s="0" t="s">
        <v>94</v>
      </c>
      <c r="C3" s="0" t="s">
        <v>35</v>
      </c>
      <c r="D3" s="0" t="s">
        <v>36</v>
      </c>
      <c r="E3" s="0" t="n">
        <v>3</v>
      </c>
      <c r="F3" s="0" t="n">
        <v>1997</v>
      </c>
      <c r="G3" s="0" t="n">
        <v>4</v>
      </c>
      <c r="H3" s="0" t="n">
        <v>6</v>
      </c>
      <c r="J3" s="0" t="n">
        <v>1.87</v>
      </c>
      <c r="K3" s="0" t="n">
        <v>86</v>
      </c>
      <c r="L3" s="0" t="n">
        <v>82</v>
      </c>
      <c r="M3" s="0" t="n">
        <v>87</v>
      </c>
      <c r="N3" s="0" t="n">
        <v>67</v>
      </c>
      <c r="O3" s="0" t="n">
        <v>69</v>
      </c>
      <c r="P3" s="0" t="n">
        <v>93</v>
      </c>
      <c r="Q3" s="0" t="n">
        <v>66</v>
      </c>
      <c r="R3" s="0" t="n">
        <v>99</v>
      </c>
      <c r="S3" s="0" t="n">
        <v>99</v>
      </c>
      <c r="T3" s="0" t="n">
        <v>61</v>
      </c>
      <c r="U3" s="0" t="n">
        <v>56</v>
      </c>
      <c r="V3" s="0" t="n">
        <v>56</v>
      </c>
      <c r="W3" s="0" t="n">
        <v>99</v>
      </c>
      <c r="X3" s="0" t="n">
        <v>60</v>
      </c>
      <c r="Y3" s="0" t="n">
        <v>60</v>
      </c>
      <c r="Z3" s="0" t="n">
        <v>94</v>
      </c>
      <c r="AA3" s="0" t="n">
        <v>87</v>
      </c>
      <c r="AB3" s="0" t="n">
        <v>82</v>
      </c>
      <c r="AC3" s="0" t="n">
        <v>81</v>
      </c>
      <c r="AD3" s="0" t="n">
        <v>81</v>
      </c>
      <c r="AE3" s="0" t="n">
        <v>9040</v>
      </c>
      <c r="AF3" s="0" t="n">
        <v>2003165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91</v>
      </c>
    </row>
    <row r="4" customFormat="false" ht="15" hidden="false" customHeight="false" outlineLevel="0" collapsed="false">
      <c r="A4" s="0" t="s">
        <v>95</v>
      </c>
      <c r="B4" s="0" t="s">
        <v>96</v>
      </c>
      <c r="C4" s="0" t="s">
        <v>35</v>
      </c>
      <c r="D4" s="0" t="s">
        <v>36</v>
      </c>
      <c r="E4" s="0" t="n">
        <v>0</v>
      </c>
      <c r="F4" s="0" t="n">
        <v>2002</v>
      </c>
      <c r="G4" s="0" t="n">
        <v>6</v>
      </c>
      <c r="H4" s="0" t="n">
        <v>3</v>
      </c>
      <c r="J4" s="0" t="n">
        <v>1.9</v>
      </c>
      <c r="K4" s="0" t="n">
        <v>86</v>
      </c>
      <c r="L4" s="0" t="n">
        <v>81</v>
      </c>
      <c r="M4" s="0" t="n">
        <v>86</v>
      </c>
      <c r="N4" s="0" t="n">
        <v>67</v>
      </c>
      <c r="O4" s="0" t="n">
        <v>69</v>
      </c>
      <c r="P4" s="0" t="n">
        <v>92</v>
      </c>
      <c r="Q4" s="0" t="n">
        <v>65</v>
      </c>
      <c r="R4" s="0" t="n">
        <v>95</v>
      </c>
      <c r="S4" s="0" t="n">
        <v>91</v>
      </c>
      <c r="T4" s="0" t="n">
        <v>60</v>
      </c>
      <c r="U4" s="0" t="n">
        <v>55</v>
      </c>
      <c r="V4" s="0" t="n">
        <v>55</v>
      </c>
      <c r="W4" s="0" t="n">
        <v>91</v>
      </c>
      <c r="X4" s="0" t="n">
        <v>62</v>
      </c>
      <c r="Y4" s="0" t="n">
        <v>59</v>
      </c>
      <c r="Z4" s="0" t="n">
        <v>93</v>
      </c>
      <c r="AA4" s="0" t="n">
        <v>86</v>
      </c>
      <c r="AB4" s="0" t="n">
        <v>84</v>
      </c>
      <c r="AC4" s="0" t="n">
        <v>78</v>
      </c>
      <c r="AD4" s="0" t="n">
        <v>81</v>
      </c>
      <c r="AE4" s="0" t="n">
        <v>9091</v>
      </c>
      <c r="AF4" s="0" t="n">
        <v>2004159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87</v>
      </c>
    </row>
    <row r="5" customFormat="false" ht="15" hidden="false" customHeight="false" outlineLevel="0" collapsed="false">
      <c r="A5" s="0" t="s">
        <v>97</v>
      </c>
      <c r="B5" s="0" t="s">
        <v>98</v>
      </c>
      <c r="C5" s="0" t="s">
        <v>39</v>
      </c>
      <c r="D5" s="0" t="s">
        <v>36</v>
      </c>
      <c r="E5" s="0" t="n">
        <v>25</v>
      </c>
      <c r="F5" s="0" t="n">
        <v>2002</v>
      </c>
      <c r="G5" s="0" t="n">
        <v>2</v>
      </c>
      <c r="H5" s="0" t="n">
        <v>9</v>
      </c>
      <c r="J5" s="0" t="n">
        <v>2.03</v>
      </c>
      <c r="K5" s="0" t="n">
        <v>98</v>
      </c>
      <c r="L5" s="0" t="n">
        <v>92</v>
      </c>
      <c r="M5" s="0" t="n">
        <v>78</v>
      </c>
      <c r="N5" s="0" t="n">
        <v>86</v>
      </c>
      <c r="O5" s="0" t="n">
        <v>79</v>
      </c>
      <c r="P5" s="0" t="n">
        <v>89</v>
      </c>
      <c r="Q5" s="0" t="n">
        <v>82</v>
      </c>
      <c r="R5" s="0" t="n">
        <v>67</v>
      </c>
      <c r="S5" s="0" t="n">
        <v>69</v>
      </c>
      <c r="T5" s="0" t="n">
        <v>83</v>
      </c>
      <c r="U5" s="0" t="n">
        <v>85</v>
      </c>
      <c r="V5" s="0" t="n">
        <v>79</v>
      </c>
      <c r="W5" s="0" t="n">
        <v>69</v>
      </c>
      <c r="X5" s="0" t="n">
        <v>87</v>
      </c>
      <c r="Y5" s="0" t="n">
        <v>69</v>
      </c>
      <c r="Z5" s="0" t="n">
        <v>71</v>
      </c>
      <c r="AA5" s="0" t="n">
        <v>86</v>
      </c>
      <c r="AB5" s="0" t="n">
        <v>86</v>
      </c>
      <c r="AC5" s="0" t="n">
        <v>75</v>
      </c>
      <c r="AD5" s="0" t="n">
        <v>77</v>
      </c>
      <c r="AE5" s="0" t="n">
        <v>9094</v>
      </c>
      <c r="AF5" s="0" t="n">
        <v>2004162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83</v>
      </c>
    </row>
    <row r="6" customFormat="false" ht="15" hidden="false" customHeight="false" outlineLevel="0" collapsed="false">
      <c r="A6" s="0" t="s">
        <v>99</v>
      </c>
      <c r="B6" s="0" t="s">
        <v>100</v>
      </c>
      <c r="C6" s="0" t="s">
        <v>42</v>
      </c>
      <c r="D6" s="0" t="s">
        <v>36</v>
      </c>
      <c r="E6" s="0" t="n">
        <v>30</v>
      </c>
      <c r="F6" s="0" t="n">
        <v>2001</v>
      </c>
      <c r="G6" s="0" t="n">
        <v>3</v>
      </c>
      <c r="H6" s="0" t="n">
        <v>30</v>
      </c>
      <c r="J6" s="0" t="n">
        <v>1.9</v>
      </c>
      <c r="K6" s="0" t="n">
        <v>86</v>
      </c>
      <c r="L6" s="0" t="n">
        <v>83</v>
      </c>
      <c r="M6" s="0" t="n">
        <v>86</v>
      </c>
      <c r="N6" s="0" t="n">
        <v>95</v>
      </c>
      <c r="O6" s="0" t="n">
        <v>94</v>
      </c>
      <c r="P6" s="0" t="n">
        <v>90</v>
      </c>
      <c r="Q6" s="0" t="n">
        <v>68</v>
      </c>
      <c r="R6" s="0" t="n">
        <v>87</v>
      </c>
      <c r="S6" s="0" t="n">
        <v>76</v>
      </c>
      <c r="T6" s="0" t="n">
        <v>62</v>
      </c>
      <c r="U6" s="0" t="n">
        <v>60</v>
      </c>
      <c r="V6" s="0" t="n">
        <v>60</v>
      </c>
      <c r="W6" s="0" t="n">
        <v>84</v>
      </c>
      <c r="X6" s="0" t="n">
        <v>59</v>
      </c>
      <c r="Y6" s="0" t="n">
        <v>64</v>
      </c>
      <c r="Z6" s="0" t="n">
        <v>91</v>
      </c>
      <c r="AA6" s="0" t="n">
        <v>86</v>
      </c>
      <c r="AB6" s="0" t="n">
        <v>80</v>
      </c>
      <c r="AC6" s="0" t="n">
        <v>79</v>
      </c>
      <c r="AD6" s="0" t="n">
        <v>81</v>
      </c>
      <c r="AE6" s="0" t="n">
        <v>9039</v>
      </c>
      <c r="AF6" s="0" t="n">
        <v>2003164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86</v>
      </c>
    </row>
    <row r="7" customFormat="false" ht="15" hidden="false" customHeight="false" outlineLevel="0" collapsed="false">
      <c r="A7" s="0" t="s">
        <v>101</v>
      </c>
      <c r="B7" s="0" t="s">
        <v>102</v>
      </c>
      <c r="C7" s="0" t="s">
        <v>52</v>
      </c>
      <c r="D7" s="0" t="s">
        <v>36</v>
      </c>
      <c r="E7" s="0" t="n">
        <v>31</v>
      </c>
      <c r="F7" s="0" t="n">
        <v>2002</v>
      </c>
      <c r="G7" s="0" t="n">
        <v>2</v>
      </c>
      <c r="H7" s="0" t="n">
        <v>22</v>
      </c>
      <c r="J7" s="0" t="n">
        <v>2.08</v>
      </c>
      <c r="K7" s="0" t="n">
        <v>106</v>
      </c>
      <c r="L7" s="0" t="n">
        <v>93</v>
      </c>
      <c r="M7" s="0" t="n">
        <v>70</v>
      </c>
      <c r="N7" s="0" t="n">
        <v>58</v>
      </c>
      <c r="O7" s="0" t="n">
        <v>60</v>
      </c>
      <c r="P7" s="0" t="n">
        <v>84</v>
      </c>
      <c r="Q7" s="0" t="n">
        <v>85</v>
      </c>
      <c r="R7" s="0" t="n">
        <v>58</v>
      </c>
      <c r="S7" s="0" t="n">
        <v>61</v>
      </c>
      <c r="T7" s="0" t="n">
        <v>84</v>
      </c>
      <c r="U7" s="0" t="n">
        <v>94</v>
      </c>
      <c r="V7" s="0" t="n">
        <v>90</v>
      </c>
      <c r="W7" s="0" t="n">
        <v>63</v>
      </c>
      <c r="X7" s="0" t="n">
        <v>91</v>
      </c>
      <c r="Y7" s="0" t="n">
        <v>73</v>
      </c>
      <c r="Z7" s="0" t="n">
        <v>57</v>
      </c>
      <c r="AA7" s="0" t="n">
        <v>87</v>
      </c>
      <c r="AB7" s="0" t="n">
        <v>89</v>
      </c>
      <c r="AC7" s="0" t="n">
        <v>71</v>
      </c>
      <c r="AD7" s="0" t="n">
        <v>74</v>
      </c>
      <c r="AE7" s="0" t="n">
        <v>5055</v>
      </c>
      <c r="AF7" s="0" t="n">
        <v>2000309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84</v>
      </c>
    </row>
    <row r="8" customFormat="false" ht="15" hidden="false" customHeight="false" outlineLevel="0" collapsed="false">
      <c r="A8" s="0" t="s">
        <v>103</v>
      </c>
      <c r="B8" s="0" t="s">
        <v>104</v>
      </c>
      <c r="C8" s="0" t="s">
        <v>45</v>
      </c>
      <c r="D8" s="0" t="s">
        <v>36</v>
      </c>
      <c r="E8" s="0" t="n">
        <v>6</v>
      </c>
      <c r="F8" s="0" t="n">
        <v>1999</v>
      </c>
      <c r="G8" s="0" t="n">
        <v>10</v>
      </c>
      <c r="H8" s="0" t="n">
        <v>28</v>
      </c>
      <c r="J8" s="0" t="n">
        <v>1.96</v>
      </c>
      <c r="K8" s="0" t="n">
        <v>90</v>
      </c>
      <c r="L8" s="0" t="n">
        <v>81</v>
      </c>
      <c r="M8" s="0" t="n">
        <v>81</v>
      </c>
      <c r="N8" s="0" t="n">
        <v>81</v>
      </c>
      <c r="O8" s="0" t="n">
        <v>69</v>
      </c>
      <c r="P8" s="0" t="n">
        <v>85</v>
      </c>
      <c r="Q8" s="0" t="n">
        <v>75</v>
      </c>
      <c r="R8" s="0" t="n">
        <v>78</v>
      </c>
      <c r="S8" s="0" t="n">
        <v>72</v>
      </c>
      <c r="T8" s="0" t="n">
        <v>63</v>
      </c>
      <c r="U8" s="0" t="n">
        <v>73</v>
      </c>
      <c r="V8" s="0" t="n">
        <v>68</v>
      </c>
      <c r="W8" s="0" t="n">
        <v>78</v>
      </c>
      <c r="X8" s="0" t="n">
        <v>70</v>
      </c>
      <c r="Y8" s="0" t="n">
        <v>69</v>
      </c>
      <c r="Z8" s="0" t="n">
        <v>83</v>
      </c>
      <c r="AA8" s="0" t="n">
        <v>84</v>
      </c>
      <c r="AB8" s="0" t="n">
        <v>80</v>
      </c>
      <c r="AC8" s="0" t="n">
        <v>79</v>
      </c>
      <c r="AD8" s="0" t="n">
        <v>79</v>
      </c>
      <c r="AE8" s="0" t="n">
        <v>5077</v>
      </c>
      <c r="AF8" s="0" t="n">
        <v>2000514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80</v>
      </c>
    </row>
    <row r="9" customFormat="false" ht="15" hidden="false" customHeight="false" outlineLevel="0" collapsed="false">
      <c r="A9" s="0" t="s">
        <v>105</v>
      </c>
      <c r="B9" s="0" t="s">
        <v>106</v>
      </c>
      <c r="C9" s="0" t="s">
        <v>39</v>
      </c>
      <c r="D9" s="0" t="s">
        <v>36</v>
      </c>
      <c r="E9" s="0" t="n">
        <v>4</v>
      </c>
      <c r="F9" s="0" t="n">
        <v>2002</v>
      </c>
      <c r="G9" s="0" t="n">
        <v>1</v>
      </c>
      <c r="H9" s="0" t="n">
        <v>12</v>
      </c>
      <c r="J9" s="0" t="n">
        <v>2.02</v>
      </c>
      <c r="K9" s="0" t="n">
        <v>95</v>
      </c>
      <c r="L9" s="0" t="n">
        <v>88</v>
      </c>
      <c r="M9" s="0" t="n">
        <v>74</v>
      </c>
      <c r="N9" s="0" t="n">
        <v>67</v>
      </c>
      <c r="O9" s="0" t="n">
        <v>69</v>
      </c>
      <c r="P9" s="0" t="n">
        <v>85</v>
      </c>
      <c r="Q9" s="0" t="n">
        <v>79</v>
      </c>
      <c r="R9" s="0" t="n">
        <v>65</v>
      </c>
      <c r="S9" s="0" t="n">
        <v>67</v>
      </c>
      <c r="T9" s="0" t="n">
        <v>80</v>
      </c>
      <c r="U9" s="0" t="n">
        <v>83</v>
      </c>
      <c r="V9" s="0" t="n">
        <v>77</v>
      </c>
      <c r="W9" s="0" t="n">
        <v>67</v>
      </c>
      <c r="X9" s="0" t="n">
        <v>88</v>
      </c>
      <c r="Y9" s="0" t="n">
        <v>69</v>
      </c>
      <c r="Z9" s="0" t="n">
        <v>69</v>
      </c>
      <c r="AA9" s="0" t="n">
        <v>84</v>
      </c>
      <c r="AB9" s="0" t="n">
        <v>87</v>
      </c>
      <c r="AC9" s="0" t="n">
        <v>73</v>
      </c>
      <c r="AD9" s="0" t="n">
        <v>74</v>
      </c>
      <c r="AE9" s="0" t="n">
        <v>5054</v>
      </c>
      <c r="AF9" s="0" t="n">
        <v>2000305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79</v>
      </c>
    </row>
    <row r="10" customFormat="false" ht="15" hidden="false" customHeight="false" outlineLevel="0" collapsed="false">
      <c r="A10" s="0" t="s">
        <v>107</v>
      </c>
      <c r="B10" s="0" t="s">
        <v>108</v>
      </c>
      <c r="C10" s="0" t="s">
        <v>35</v>
      </c>
      <c r="D10" s="0" t="s">
        <v>36</v>
      </c>
      <c r="E10" s="0" t="n">
        <v>2</v>
      </c>
      <c r="F10" s="0" t="n">
        <v>2001</v>
      </c>
      <c r="G10" s="0" t="n">
        <v>8</v>
      </c>
      <c r="H10" s="0" t="n">
        <v>7</v>
      </c>
      <c r="J10" s="0" t="n">
        <v>1.83</v>
      </c>
      <c r="K10" s="0" t="n">
        <v>79</v>
      </c>
      <c r="L10" s="0" t="n">
        <v>77</v>
      </c>
      <c r="M10" s="0" t="n">
        <v>82</v>
      </c>
      <c r="N10" s="0" t="n">
        <v>60</v>
      </c>
      <c r="O10" s="0" t="n">
        <v>69</v>
      </c>
      <c r="P10" s="0" t="n">
        <v>89</v>
      </c>
      <c r="Q10" s="0" t="n">
        <v>61</v>
      </c>
      <c r="R10" s="0" t="n">
        <v>98</v>
      </c>
      <c r="S10" s="0" t="n">
        <v>90</v>
      </c>
      <c r="T10" s="0" t="n">
        <v>57</v>
      </c>
      <c r="U10" s="0" t="n">
        <v>51</v>
      </c>
      <c r="V10" s="0" t="n">
        <v>51</v>
      </c>
      <c r="W10" s="0" t="n">
        <v>93</v>
      </c>
      <c r="X10" s="0" t="n">
        <v>57</v>
      </c>
      <c r="Y10" s="0" t="n">
        <v>57</v>
      </c>
      <c r="Z10" s="0" t="n">
        <v>95</v>
      </c>
      <c r="AA10" s="0" t="n">
        <v>84</v>
      </c>
      <c r="AB10" s="0" t="n">
        <v>79</v>
      </c>
      <c r="AC10" s="0" t="n">
        <v>76</v>
      </c>
      <c r="AD10" s="0" t="n">
        <v>78</v>
      </c>
      <c r="AE10" s="0" t="n">
        <v>9183</v>
      </c>
      <c r="AF10" s="0" t="n">
        <v>2004975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84</v>
      </c>
    </row>
    <row r="11" customFormat="false" ht="15" hidden="false" customHeight="false" outlineLevel="0" collapsed="false">
      <c r="A11" s="0" t="s">
        <v>109</v>
      </c>
      <c r="B11" s="0" t="s">
        <v>110</v>
      </c>
      <c r="C11" s="0" t="s">
        <v>42</v>
      </c>
      <c r="D11" s="0" t="s">
        <v>36</v>
      </c>
      <c r="E11" s="0" t="n">
        <v>32</v>
      </c>
      <c r="F11" s="0" t="n">
        <v>2004</v>
      </c>
      <c r="G11" s="0" t="n">
        <v>3</v>
      </c>
      <c r="H11" s="0" t="n">
        <v>2</v>
      </c>
      <c r="J11" s="0" t="n">
        <v>2.01</v>
      </c>
      <c r="K11" s="0" t="n">
        <v>86</v>
      </c>
      <c r="L11" s="0" t="n">
        <v>79</v>
      </c>
      <c r="M11" s="0" t="n">
        <v>82</v>
      </c>
      <c r="N11" s="0" t="n">
        <v>84</v>
      </c>
      <c r="O11" s="0" t="n">
        <v>84</v>
      </c>
      <c r="P11" s="0" t="n">
        <v>83</v>
      </c>
      <c r="Q11" s="0" t="n">
        <v>67</v>
      </c>
      <c r="R11" s="0" t="n">
        <v>81</v>
      </c>
      <c r="S11" s="0" t="n">
        <v>74</v>
      </c>
      <c r="T11" s="0" t="n">
        <v>59</v>
      </c>
      <c r="U11" s="0" t="n">
        <v>62</v>
      </c>
      <c r="V11" s="0" t="n">
        <v>62</v>
      </c>
      <c r="W11" s="0" t="n">
        <v>79</v>
      </c>
      <c r="X11" s="0" t="n">
        <v>60</v>
      </c>
      <c r="Y11" s="0" t="n">
        <v>64</v>
      </c>
      <c r="Z11" s="0" t="n">
        <v>85</v>
      </c>
      <c r="AA11" s="0" t="n">
        <v>84</v>
      </c>
      <c r="AB11" s="0" t="n">
        <v>81</v>
      </c>
      <c r="AC11" s="0" t="n">
        <v>77</v>
      </c>
      <c r="AD11" s="0" t="n">
        <v>78</v>
      </c>
      <c r="AE11" s="0" t="n">
        <v>9092</v>
      </c>
      <c r="AF11" s="0" t="n">
        <v>2004160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82</v>
      </c>
    </row>
    <row r="12" customFormat="false" ht="15" hidden="false" customHeight="false" outlineLevel="0" collapsed="false">
      <c r="A12" s="0" t="s">
        <v>111</v>
      </c>
      <c r="B12" s="0" t="s">
        <v>112</v>
      </c>
      <c r="C12" s="0" t="s">
        <v>45</v>
      </c>
      <c r="D12" s="0" t="s">
        <v>36</v>
      </c>
      <c r="E12" s="0" t="n">
        <v>5</v>
      </c>
      <c r="F12" s="0" t="n">
        <v>2007</v>
      </c>
      <c r="G12" s="0" t="n">
        <v>1</v>
      </c>
      <c r="H12" s="0" t="n">
        <v>31</v>
      </c>
      <c r="J12" s="0" t="n">
        <v>2.02</v>
      </c>
      <c r="K12" s="0" t="n">
        <v>94</v>
      </c>
      <c r="L12" s="0" t="n">
        <v>77</v>
      </c>
      <c r="M12" s="0" t="n">
        <v>77</v>
      </c>
      <c r="N12" s="0" t="n">
        <v>60</v>
      </c>
      <c r="O12" s="0" t="n">
        <v>60</v>
      </c>
      <c r="P12" s="0" t="n">
        <v>81</v>
      </c>
      <c r="Q12" s="0" t="n">
        <v>73</v>
      </c>
      <c r="R12" s="0" t="n">
        <v>72</v>
      </c>
      <c r="S12" s="0" t="n">
        <v>66</v>
      </c>
      <c r="T12" s="0" t="n">
        <v>59</v>
      </c>
      <c r="U12" s="0" t="n">
        <v>69</v>
      </c>
      <c r="V12" s="0" t="n">
        <v>64</v>
      </c>
      <c r="W12" s="0" t="n">
        <v>71</v>
      </c>
      <c r="X12" s="0" t="n">
        <v>66</v>
      </c>
      <c r="Y12" s="0" t="n">
        <v>66</v>
      </c>
      <c r="Z12" s="0" t="n">
        <v>81</v>
      </c>
      <c r="AA12" s="0" t="n">
        <v>80</v>
      </c>
      <c r="AB12" s="0" t="n">
        <v>76</v>
      </c>
      <c r="AC12" s="0" t="n">
        <v>69</v>
      </c>
      <c r="AD12" s="0" t="n">
        <v>69</v>
      </c>
      <c r="AE12" s="0" t="n">
        <v>5554</v>
      </c>
      <c r="AF12" s="0" t="n">
        <v>2002073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73</v>
      </c>
    </row>
    <row r="13" customFormat="false" ht="15" hidden="false" customHeight="false" outlineLevel="0" collapsed="false">
      <c r="A13" s="0" t="s">
        <v>113</v>
      </c>
      <c r="B13" s="0" t="s">
        <v>114</v>
      </c>
      <c r="C13" s="0" t="s">
        <v>45</v>
      </c>
      <c r="D13" s="0" t="s">
        <v>36</v>
      </c>
      <c r="E13" s="0" t="n">
        <v>21</v>
      </c>
      <c r="F13" s="0" t="n">
        <v>2007</v>
      </c>
      <c r="G13" s="0" t="n">
        <v>6</v>
      </c>
      <c r="H13" s="0" t="n">
        <v>11</v>
      </c>
      <c r="J13" s="0" t="n">
        <v>2</v>
      </c>
      <c r="K13" s="0" t="n">
        <v>95</v>
      </c>
      <c r="L13" s="0" t="n">
        <v>76</v>
      </c>
      <c r="M13" s="0" t="n">
        <v>76</v>
      </c>
      <c r="N13" s="0" t="n">
        <v>67</v>
      </c>
      <c r="O13" s="0" t="n">
        <v>60</v>
      </c>
      <c r="P13" s="0" t="n">
        <v>80</v>
      </c>
      <c r="Q13" s="0" t="n">
        <v>72</v>
      </c>
      <c r="R13" s="0" t="n">
        <v>71</v>
      </c>
      <c r="S13" s="0" t="n">
        <v>65</v>
      </c>
      <c r="T13" s="0" t="n">
        <v>58</v>
      </c>
      <c r="U13" s="0" t="n">
        <v>70</v>
      </c>
      <c r="V13" s="0" t="n">
        <v>63</v>
      </c>
      <c r="W13" s="0" t="n">
        <v>70</v>
      </c>
      <c r="X13" s="0" t="n">
        <v>65</v>
      </c>
      <c r="Y13" s="0" t="n">
        <v>65</v>
      </c>
      <c r="Z13" s="0" t="n">
        <v>80</v>
      </c>
      <c r="AA13" s="0" t="n">
        <v>79</v>
      </c>
      <c r="AB13" s="0" t="n">
        <v>75</v>
      </c>
      <c r="AC13" s="0" t="n">
        <v>68</v>
      </c>
      <c r="AD13" s="0" t="n">
        <v>68</v>
      </c>
      <c r="AE13" s="0" t="n">
        <v>9182</v>
      </c>
      <c r="AF13" s="0" t="n">
        <v>2004971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73</v>
      </c>
    </row>
    <row r="14" customFormat="false" ht="15" hidden="false" customHeight="false" outlineLevel="0" collapsed="false">
      <c r="A14" s="0" t="s">
        <v>115</v>
      </c>
      <c r="B14" s="0" t="s">
        <v>116</v>
      </c>
      <c r="C14" s="0" t="s">
        <v>52</v>
      </c>
      <c r="D14" s="0" t="s">
        <v>36</v>
      </c>
      <c r="E14" s="0" t="n">
        <v>14</v>
      </c>
      <c r="F14" s="0" t="n">
        <v>2007</v>
      </c>
      <c r="G14" s="0" t="n">
        <v>11</v>
      </c>
      <c r="H14" s="0" t="n">
        <v>21</v>
      </c>
      <c r="J14" s="0" t="n">
        <v>2.04</v>
      </c>
      <c r="K14" s="0" t="n">
        <v>98</v>
      </c>
      <c r="L14" s="0" t="n">
        <v>92</v>
      </c>
      <c r="M14" s="0" t="n">
        <v>65</v>
      </c>
      <c r="N14" s="0" t="n">
        <v>53</v>
      </c>
      <c r="O14" s="0" t="n">
        <v>85</v>
      </c>
      <c r="P14" s="0" t="n">
        <v>83</v>
      </c>
      <c r="Q14" s="0" t="n">
        <v>82</v>
      </c>
      <c r="R14" s="0" t="n">
        <v>53</v>
      </c>
      <c r="S14" s="0" t="n">
        <v>54</v>
      </c>
      <c r="T14" s="0" t="n">
        <v>80</v>
      </c>
      <c r="U14" s="0" t="n">
        <v>84</v>
      </c>
      <c r="V14" s="0" t="n">
        <v>82</v>
      </c>
      <c r="W14" s="0" t="n">
        <v>58</v>
      </c>
      <c r="X14" s="0" t="n">
        <v>83</v>
      </c>
      <c r="Y14" s="0" t="n">
        <v>83</v>
      </c>
      <c r="Z14" s="0" t="n">
        <v>59</v>
      </c>
      <c r="AA14" s="0" t="n">
        <v>82</v>
      </c>
      <c r="AB14" s="0" t="n">
        <v>81</v>
      </c>
      <c r="AC14" s="0" t="n">
        <v>61</v>
      </c>
      <c r="AD14" s="0" t="n">
        <v>63</v>
      </c>
      <c r="AE14" s="0" t="n">
        <v>9034</v>
      </c>
      <c r="AF14" s="0" t="n">
        <v>2003110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79</v>
      </c>
    </row>
    <row r="15" customFormat="false" ht="15" hidden="false" customHeight="false" outlineLevel="0" collapsed="false">
      <c r="A15" s="0" t="s">
        <v>117</v>
      </c>
      <c r="B15" s="0" t="s">
        <v>118</v>
      </c>
      <c r="C15" s="0" t="s">
        <v>42</v>
      </c>
      <c r="D15" s="0" t="s">
        <v>36</v>
      </c>
      <c r="E15" s="0" t="n">
        <v>19</v>
      </c>
      <c r="F15" s="0" t="n">
        <v>2005</v>
      </c>
      <c r="G15" s="0" t="n">
        <v>2</v>
      </c>
      <c r="H15" s="0" t="n">
        <v>22</v>
      </c>
      <c r="J15" s="0" t="n">
        <v>1.87</v>
      </c>
      <c r="K15" s="0" t="n">
        <v>79</v>
      </c>
      <c r="L15" s="0" t="n">
        <v>75</v>
      </c>
      <c r="M15" s="0" t="n">
        <v>78</v>
      </c>
      <c r="N15" s="0" t="n">
        <v>67</v>
      </c>
      <c r="O15" s="0" t="n">
        <v>60</v>
      </c>
      <c r="P15" s="0" t="n">
        <v>82</v>
      </c>
      <c r="Q15" s="0" t="n">
        <v>63</v>
      </c>
      <c r="R15" s="0" t="n">
        <v>81</v>
      </c>
      <c r="S15" s="0" t="n">
        <v>68</v>
      </c>
      <c r="T15" s="0" t="n">
        <v>55</v>
      </c>
      <c r="U15" s="0" t="n">
        <v>54</v>
      </c>
      <c r="V15" s="0" t="n">
        <v>54</v>
      </c>
      <c r="W15" s="0" t="n">
        <v>75</v>
      </c>
      <c r="X15" s="0" t="n">
        <v>53</v>
      </c>
      <c r="Y15" s="0" t="n">
        <v>58</v>
      </c>
      <c r="Z15" s="0" t="n">
        <v>91</v>
      </c>
      <c r="AA15" s="0" t="n">
        <v>80</v>
      </c>
      <c r="AB15" s="0" t="n">
        <v>74</v>
      </c>
      <c r="AC15" s="0" t="n">
        <v>68</v>
      </c>
      <c r="AD15" s="0" t="n">
        <v>68</v>
      </c>
      <c r="AE15" s="0" t="n">
        <v>5552</v>
      </c>
      <c r="AF15" s="0" t="n">
        <v>2002027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74</v>
      </c>
    </row>
    <row r="16" customFormat="false" ht="15" hidden="false" customHeight="false" outlineLevel="0" collapsed="false">
      <c r="A16" s="0" t="s">
        <v>119</v>
      </c>
      <c r="B16" s="0" t="s">
        <v>120</v>
      </c>
      <c r="C16" s="0" t="s">
        <v>35</v>
      </c>
      <c r="D16" s="0" t="s">
        <v>36</v>
      </c>
      <c r="E16" s="0" t="n">
        <v>8</v>
      </c>
      <c r="F16" s="0" t="n">
        <v>2000</v>
      </c>
      <c r="G16" s="0" t="n">
        <v>6</v>
      </c>
      <c r="H16" s="0" t="n">
        <v>29</v>
      </c>
      <c r="J16" s="0" t="n">
        <v>1.85</v>
      </c>
      <c r="K16" s="0" t="n">
        <v>75</v>
      </c>
      <c r="L16" s="0" t="n">
        <v>72</v>
      </c>
      <c r="M16" s="0" t="n">
        <v>77</v>
      </c>
      <c r="N16" s="0" t="n">
        <v>72</v>
      </c>
      <c r="O16" s="0" t="n">
        <v>82</v>
      </c>
      <c r="P16" s="0" t="n">
        <v>83</v>
      </c>
      <c r="Q16" s="0" t="n">
        <v>57</v>
      </c>
      <c r="R16" s="0" t="n">
        <v>88</v>
      </c>
      <c r="S16" s="0" t="n">
        <v>84</v>
      </c>
      <c r="T16" s="0" t="n">
        <v>52</v>
      </c>
      <c r="U16" s="0" t="n">
        <v>50</v>
      </c>
      <c r="V16" s="0" t="n">
        <v>50</v>
      </c>
      <c r="W16" s="0" t="n">
        <v>84</v>
      </c>
      <c r="X16" s="0" t="n">
        <v>52</v>
      </c>
      <c r="Y16" s="0" t="n">
        <v>52</v>
      </c>
      <c r="Z16" s="0" t="n">
        <v>88</v>
      </c>
      <c r="AA16" s="0" t="n">
        <v>79</v>
      </c>
      <c r="AB16" s="0" t="n">
        <v>74</v>
      </c>
      <c r="AC16" s="0" t="n">
        <v>71</v>
      </c>
      <c r="AD16" s="0" t="n">
        <v>73</v>
      </c>
      <c r="AE16" s="0" t="n">
        <v>9127</v>
      </c>
      <c r="AF16" s="0" t="n">
        <v>2004268</v>
      </c>
      <c r="AG16" s="0" t="n">
        <f aca="false">IF(ISNA(MATCH($C16,_Overall_Model!$A$2:$A$6,0)),"",ROUND(SUMPRODUCT(L16:AD16,INDEX(_Overall_Model!$B$2:$T$6,MATCH($C16,_Overall_Model!$A$2:$A$6,0),0))+INDEX(_Overall_Model!$U$2:$U$6,MATCH($C16,_Overall_Model!$A$2:$A$6,0))+INDEX(_Overall_Model!$V$2:$V$6,MATCH($C16,_Overall_Model!$A$2:$A$6,0))*IF(Q16&gt;=75,99,IF(Q16&gt;=60,50,0))+INDEX(_Overall_Model!$W$2:$W$6,MATCH($C16,_Overall_Model!$A$2:$A$6,0))*J16+INDEX(_Overall_Model!$X$2:$X$6,MATCH($C16,_Overall_Model!$A$2:$A$6,0))*K16,0))</f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121</v>
      </c>
      <c r="B2" s="0" t="s">
        <v>122</v>
      </c>
      <c r="C2" s="0" t="s">
        <v>45</v>
      </c>
      <c r="D2" s="0" t="s">
        <v>36</v>
      </c>
      <c r="E2" s="0" t="n">
        <v>31</v>
      </c>
      <c r="F2" s="0" t="n">
        <v>1999</v>
      </c>
      <c r="G2" s="0" t="n">
        <v>8</v>
      </c>
      <c r="H2" s="0" t="n">
        <v>25</v>
      </c>
      <c r="J2" s="0" t="n">
        <v>1.96</v>
      </c>
      <c r="K2" s="0" t="n">
        <v>98</v>
      </c>
      <c r="L2" s="0" t="n">
        <v>91</v>
      </c>
      <c r="M2" s="0" t="n">
        <v>88</v>
      </c>
      <c r="N2" s="0" t="n">
        <v>67</v>
      </c>
      <c r="O2" s="0" t="n">
        <v>69</v>
      </c>
      <c r="P2" s="0" t="n">
        <v>95</v>
      </c>
      <c r="Q2" s="0" t="n">
        <v>80</v>
      </c>
      <c r="R2" s="0" t="n">
        <v>82</v>
      </c>
      <c r="S2" s="0" t="n">
        <v>78</v>
      </c>
      <c r="T2" s="0" t="n">
        <v>70</v>
      </c>
      <c r="U2" s="0" t="n">
        <v>78</v>
      </c>
      <c r="V2" s="0" t="n">
        <v>71</v>
      </c>
      <c r="W2" s="0" t="n">
        <v>85</v>
      </c>
      <c r="X2" s="0" t="n">
        <v>76</v>
      </c>
      <c r="Y2" s="0" t="n">
        <v>78</v>
      </c>
      <c r="Z2" s="0" t="n">
        <v>86</v>
      </c>
      <c r="AA2" s="0" t="n">
        <v>87</v>
      </c>
      <c r="AB2" s="0" t="n">
        <v>86</v>
      </c>
      <c r="AC2" s="0" t="n">
        <v>84</v>
      </c>
      <c r="AD2" s="0" t="n">
        <v>84</v>
      </c>
      <c r="AE2" s="0" t="n">
        <v>9059</v>
      </c>
      <c r="AF2" s="0" t="n">
        <v>2003933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87</v>
      </c>
    </row>
    <row r="3" customFormat="false" ht="15" hidden="false" customHeight="false" outlineLevel="0" collapsed="false">
      <c r="A3" s="0" t="s">
        <v>123</v>
      </c>
      <c r="B3" s="0" t="s">
        <v>124</v>
      </c>
      <c r="C3" s="0" t="s">
        <v>35</v>
      </c>
      <c r="D3" s="0" t="s">
        <v>36</v>
      </c>
      <c r="E3" s="0" t="n">
        <v>15</v>
      </c>
      <c r="F3" s="0" t="n">
        <v>2001</v>
      </c>
      <c r="G3" s="0" t="n">
        <v>6</v>
      </c>
      <c r="H3" s="0" t="n">
        <v>18</v>
      </c>
      <c r="J3" s="0" t="n">
        <v>1.91</v>
      </c>
      <c r="K3" s="0" t="n">
        <v>89</v>
      </c>
      <c r="L3" s="0" t="n">
        <v>80</v>
      </c>
      <c r="M3" s="0" t="n">
        <v>85</v>
      </c>
      <c r="N3" s="0" t="n">
        <v>60</v>
      </c>
      <c r="O3" s="0" t="n">
        <v>60</v>
      </c>
      <c r="P3" s="0" t="n">
        <v>91</v>
      </c>
      <c r="Q3" s="0" t="n">
        <v>65</v>
      </c>
      <c r="R3" s="0" t="n">
        <v>99</v>
      </c>
      <c r="S3" s="0" t="n">
        <v>96</v>
      </c>
      <c r="T3" s="0" t="n">
        <v>60</v>
      </c>
      <c r="U3" s="0" t="n">
        <v>56</v>
      </c>
      <c r="V3" s="0" t="n">
        <v>56</v>
      </c>
      <c r="W3" s="0" t="n">
        <v>95</v>
      </c>
      <c r="X3" s="0" t="n">
        <v>60</v>
      </c>
      <c r="Y3" s="0" t="n">
        <v>62</v>
      </c>
      <c r="Z3" s="0" t="n">
        <v>94</v>
      </c>
      <c r="AA3" s="0" t="n">
        <v>87</v>
      </c>
      <c r="AB3" s="0" t="n">
        <v>82</v>
      </c>
      <c r="AC3" s="0" t="n">
        <v>81</v>
      </c>
      <c r="AD3" s="0" t="n">
        <v>80</v>
      </c>
      <c r="AE3" s="0" t="n">
        <v>9070</v>
      </c>
      <c r="AF3" s="0" t="n">
        <v>2003985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88</v>
      </c>
    </row>
    <row r="4" customFormat="false" ht="15" hidden="false" customHeight="false" outlineLevel="0" collapsed="false">
      <c r="A4" s="0" t="s">
        <v>125</v>
      </c>
      <c r="B4" s="0" t="s">
        <v>126</v>
      </c>
      <c r="C4" s="0" t="s">
        <v>35</v>
      </c>
      <c r="D4" s="0" t="s">
        <v>36</v>
      </c>
      <c r="E4" s="0" t="n">
        <v>5</v>
      </c>
      <c r="F4" s="0" t="n">
        <v>2001</v>
      </c>
      <c r="G4" s="0" t="n">
        <v>10</v>
      </c>
      <c r="H4" s="0" t="n">
        <v>3</v>
      </c>
      <c r="J4" s="0" t="n">
        <v>1.81</v>
      </c>
      <c r="K4" s="0" t="n">
        <v>84</v>
      </c>
      <c r="L4" s="0" t="n">
        <v>82</v>
      </c>
      <c r="M4" s="0" t="n">
        <v>87</v>
      </c>
      <c r="N4" s="0" t="n">
        <v>82</v>
      </c>
      <c r="O4" s="0" t="n">
        <v>90</v>
      </c>
      <c r="P4" s="0" t="n">
        <v>94</v>
      </c>
      <c r="Q4" s="0" t="n">
        <v>65</v>
      </c>
      <c r="R4" s="0" t="n">
        <v>98</v>
      </c>
      <c r="S4" s="0" t="n">
        <v>95</v>
      </c>
      <c r="T4" s="0" t="n">
        <v>61</v>
      </c>
      <c r="U4" s="0" t="n">
        <v>54</v>
      </c>
      <c r="V4" s="0" t="n">
        <v>54</v>
      </c>
      <c r="W4" s="0" t="n">
        <v>99</v>
      </c>
      <c r="X4" s="0" t="n">
        <v>60</v>
      </c>
      <c r="Y4" s="0" t="n">
        <v>62</v>
      </c>
      <c r="Z4" s="0" t="n">
        <v>98</v>
      </c>
      <c r="AA4" s="0" t="n">
        <v>87</v>
      </c>
      <c r="AB4" s="0" t="n">
        <v>82</v>
      </c>
      <c r="AC4" s="0" t="n">
        <v>81</v>
      </c>
      <c r="AD4" s="0" t="n">
        <v>81</v>
      </c>
      <c r="AE4" s="0" t="n">
        <v>9007</v>
      </c>
      <c r="AF4" s="0" t="n">
        <v>1400008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92</v>
      </c>
    </row>
    <row r="5" customFormat="false" ht="15" hidden="false" customHeight="false" outlineLevel="0" collapsed="false">
      <c r="A5" s="0" t="s">
        <v>127</v>
      </c>
      <c r="B5" s="0" t="s">
        <v>128</v>
      </c>
      <c r="C5" s="0" t="s">
        <v>52</v>
      </c>
      <c r="D5" s="0" t="s">
        <v>36</v>
      </c>
      <c r="E5" s="0" t="n">
        <v>21</v>
      </c>
      <c r="F5" s="0" t="n">
        <v>2001</v>
      </c>
      <c r="G5" s="0" t="n">
        <v>9</v>
      </c>
      <c r="H5" s="0" t="n">
        <v>26</v>
      </c>
      <c r="J5" s="0" t="n">
        <v>2.01</v>
      </c>
      <c r="K5" s="0" t="n">
        <v>108</v>
      </c>
      <c r="L5" s="0" t="n">
        <v>97</v>
      </c>
      <c r="M5" s="0" t="n">
        <v>74</v>
      </c>
      <c r="N5" s="0" t="n">
        <v>62</v>
      </c>
      <c r="O5" s="0" t="n">
        <v>60</v>
      </c>
      <c r="P5" s="0" t="n">
        <v>88</v>
      </c>
      <c r="Q5" s="0" t="n">
        <v>87</v>
      </c>
      <c r="R5" s="0" t="n">
        <v>57</v>
      </c>
      <c r="S5" s="0" t="n">
        <v>61</v>
      </c>
      <c r="T5" s="0" t="n">
        <v>87</v>
      </c>
      <c r="U5" s="0" t="n">
        <v>92</v>
      </c>
      <c r="V5" s="0" t="n">
        <v>87</v>
      </c>
      <c r="W5" s="0" t="n">
        <v>63</v>
      </c>
      <c r="X5" s="0" t="n">
        <v>91</v>
      </c>
      <c r="Y5" s="0" t="n">
        <v>70</v>
      </c>
      <c r="Z5" s="0" t="n">
        <v>57</v>
      </c>
      <c r="AA5" s="0" t="n">
        <v>87</v>
      </c>
      <c r="AB5" s="0" t="n">
        <v>89</v>
      </c>
      <c r="AC5" s="0" t="n">
        <v>71</v>
      </c>
      <c r="AD5" s="0" t="n">
        <v>76</v>
      </c>
      <c r="AE5" s="0" t="n">
        <v>9071</v>
      </c>
      <c r="AF5" s="0" t="n">
        <v>2003988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84</v>
      </c>
    </row>
    <row r="6" customFormat="false" ht="15" hidden="false" customHeight="false" outlineLevel="0" collapsed="false">
      <c r="A6" s="0" t="s">
        <v>129</v>
      </c>
      <c r="B6" s="0" t="s">
        <v>130</v>
      </c>
      <c r="C6" s="0" t="s">
        <v>39</v>
      </c>
      <c r="D6" s="0" t="s">
        <v>36</v>
      </c>
      <c r="E6" s="0" t="n">
        <v>9</v>
      </c>
      <c r="F6" s="0" t="n">
        <v>1996</v>
      </c>
      <c r="G6" s="0" t="n">
        <v>12</v>
      </c>
      <c r="H6" s="0" t="n">
        <v>12</v>
      </c>
      <c r="J6" s="0" t="n">
        <v>2.05</v>
      </c>
      <c r="K6" s="0" t="n">
        <v>98</v>
      </c>
      <c r="L6" s="0" t="n">
        <v>83</v>
      </c>
      <c r="M6" s="0" t="n">
        <v>75</v>
      </c>
      <c r="N6" s="0" t="n">
        <v>67</v>
      </c>
      <c r="O6" s="0" t="n">
        <v>69</v>
      </c>
      <c r="P6" s="0" t="n">
        <v>80</v>
      </c>
      <c r="Q6" s="0" t="n">
        <v>80</v>
      </c>
      <c r="R6" s="0" t="n">
        <v>66</v>
      </c>
      <c r="S6" s="0" t="n">
        <v>70</v>
      </c>
      <c r="T6" s="0" t="n">
        <v>79</v>
      </c>
      <c r="U6" s="0" t="n">
        <v>84</v>
      </c>
      <c r="V6" s="0" t="n">
        <v>78</v>
      </c>
      <c r="W6" s="0" t="n">
        <v>68</v>
      </c>
      <c r="X6" s="0" t="n">
        <v>86</v>
      </c>
      <c r="Y6" s="0" t="n">
        <v>69</v>
      </c>
      <c r="Z6" s="0" t="n">
        <v>67</v>
      </c>
      <c r="AA6" s="0" t="n">
        <v>82</v>
      </c>
      <c r="AB6" s="0" t="n">
        <v>85</v>
      </c>
      <c r="AC6" s="0" t="n">
        <v>77</v>
      </c>
      <c r="AD6" s="0" t="n">
        <v>80</v>
      </c>
      <c r="AE6" s="0" t="n">
        <v>5503</v>
      </c>
      <c r="AF6" s="0" t="n">
        <v>2001760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79</v>
      </c>
    </row>
    <row r="7" customFormat="false" ht="15" hidden="false" customHeight="false" outlineLevel="0" collapsed="false">
      <c r="A7" s="0" t="s">
        <v>131</v>
      </c>
      <c r="B7" s="0" t="s">
        <v>132</v>
      </c>
      <c r="C7" s="0" t="s">
        <v>42</v>
      </c>
      <c r="D7" s="0" t="s">
        <v>36</v>
      </c>
      <c r="E7" s="0" t="n">
        <v>2</v>
      </c>
      <c r="F7" s="0" t="n">
        <v>1999</v>
      </c>
      <c r="G7" s="0" t="n">
        <v>4</v>
      </c>
      <c r="H7" s="0" t="n">
        <v>5</v>
      </c>
      <c r="J7" s="0" t="n">
        <v>1.95</v>
      </c>
      <c r="K7" s="0" t="n">
        <v>86</v>
      </c>
      <c r="L7" s="0" t="n">
        <v>80</v>
      </c>
      <c r="M7" s="0" t="n">
        <v>83</v>
      </c>
      <c r="N7" s="0" t="n">
        <v>67</v>
      </c>
      <c r="O7" s="0" t="n">
        <v>90</v>
      </c>
      <c r="P7" s="0" t="n">
        <v>84</v>
      </c>
      <c r="Q7" s="0" t="n">
        <v>68</v>
      </c>
      <c r="R7" s="0" t="n">
        <v>84</v>
      </c>
      <c r="S7" s="0" t="n">
        <v>75</v>
      </c>
      <c r="T7" s="0" t="n">
        <v>60</v>
      </c>
      <c r="U7" s="0" t="n">
        <v>63</v>
      </c>
      <c r="V7" s="0" t="n">
        <v>63</v>
      </c>
      <c r="W7" s="0" t="n">
        <v>80</v>
      </c>
      <c r="X7" s="0" t="n">
        <v>58</v>
      </c>
      <c r="Y7" s="0" t="n">
        <v>63</v>
      </c>
      <c r="Z7" s="0" t="n">
        <v>88</v>
      </c>
      <c r="AA7" s="0" t="n">
        <v>85</v>
      </c>
      <c r="AB7" s="0" t="n">
        <v>79</v>
      </c>
      <c r="AC7" s="0" t="n">
        <v>77</v>
      </c>
      <c r="AD7" s="0" t="n">
        <v>79</v>
      </c>
      <c r="AE7" s="0" t="n">
        <v>5501</v>
      </c>
      <c r="AF7" s="0" t="n">
        <v>2001758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81</v>
      </c>
    </row>
    <row r="8" customFormat="false" ht="15" hidden="false" customHeight="false" outlineLevel="0" collapsed="false">
      <c r="A8" s="0" t="s">
        <v>133</v>
      </c>
      <c r="B8" s="0" t="s">
        <v>134</v>
      </c>
      <c r="C8" s="0" t="s">
        <v>45</v>
      </c>
      <c r="D8" s="0" t="s">
        <v>36</v>
      </c>
      <c r="E8" s="0" t="n">
        <v>7</v>
      </c>
      <c r="F8" s="0" t="n">
        <v>2004</v>
      </c>
      <c r="G8" s="0" t="n">
        <v>2</v>
      </c>
      <c r="H8" s="0" t="n">
        <v>8</v>
      </c>
      <c r="J8" s="0" t="n">
        <v>1.96</v>
      </c>
      <c r="K8" s="0" t="n">
        <v>89</v>
      </c>
      <c r="L8" s="0" t="n">
        <v>89</v>
      </c>
      <c r="M8" s="0" t="n">
        <v>83</v>
      </c>
      <c r="N8" s="0" t="n">
        <v>88</v>
      </c>
      <c r="O8" s="0" t="n">
        <v>89</v>
      </c>
      <c r="P8" s="0" t="n">
        <v>93</v>
      </c>
      <c r="Q8" s="0" t="n">
        <v>76</v>
      </c>
      <c r="R8" s="0" t="n">
        <v>78</v>
      </c>
      <c r="S8" s="0" t="n">
        <v>72</v>
      </c>
      <c r="T8" s="0" t="n">
        <v>66</v>
      </c>
      <c r="U8" s="0" t="n">
        <v>73</v>
      </c>
      <c r="V8" s="0" t="n">
        <v>68</v>
      </c>
      <c r="W8" s="0" t="n">
        <v>75</v>
      </c>
      <c r="X8" s="0" t="n">
        <v>70</v>
      </c>
      <c r="Y8" s="0" t="n">
        <v>70</v>
      </c>
      <c r="Z8" s="0" t="n">
        <v>83</v>
      </c>
      <c r="AA8" s="0" t="n">
        <v>84</v>
      </c>
      <c r="AB8" s="0" t="n">
        <v>80</v>
      </c>
      <c r="AC8" s="0" t="n">
        <v>77</v>
      </c>
      <c r="AD8" s="0" t="n">
        <v>80</v>
      </c>
      <c r="AE8" s="0" t="n">
        <v>9066</v>
      </c>
      <c r="AF8" s="0" t="n">
        <v>2003970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83</v>
      </c>
    </row>
    <row r="9" customFormat="false" ht="15" hidden="false" customHeight="false" outlineLevel="0" collapsed="false">
      <c r="A9" s="0" t="s">
        <v>135</v>
      </c>
      <c r="B9" s="0" t="s">
        <v>136</v>
      </c>
      <c r="C9" s="0" t="s">
        <v>52</v>
      </c>
      <c r="D9" s="0" t="s">
        <v>36</v>
      </c>
      <c r="E9" s="0" t="n">
        <v>13</v>
      </c>
      <c r="F9" s="0" t="n">
        <v>1995</v>
      </c>
      <c r="G9" s="0" t="n">
        <v>11</v>
      </c>
      <c r="H9" s="0" t="n">
        <v>14</v>
      </c>
      <c r="J9" s="0" t="n">
        <v>2.1</v>
      </c>
      <c r="K9" s="0" t="n">
        <v>110</v>
      </c>
      <c r="L9" s="0" t="n">
        <v>86</v>
      </c>
      <c r="M9" s="0" t="n">
        <v>69</v>
      </c>
      <c r="N9" s="0" t="n">
        <v>60</v>
      </c>
      <c r="O9" s="0" t="n">
        <v>69</v>
      </c>
      <c r="P9" s="0" t="n">
        <v>77</v>
      </c>
      <c r="Q9" s="0" t="n">
        <v>86</v>
      </c>
      <c r="R9" s="0" t="n">
        <v>57</v>
      </c>
      <c r="S9" s="0" t="n">
        <v>62</v>
      </c>
      <c r="T9" s="0" t="n">
        <v>81</v>
      </c>
      <c r="U9" s="0" t="n">
        <v>95</v>
      </c>
      <c r="V9" s="0" t="n">
        <v>91</v>
      </c>
      <c r="W9" s="0" t="n">
        <v>62</v>
      </c>
      <c r="X9" s="0" t="n">
        <v>95</v>
      </c>
      <c r="Y9" s="0" t="n">
        <v>75</v>
      </c>
      <c r="Z9" s="0" t="n">
        <v>50</v>
      </c>
      <c r="AA9" s="0" t="n">
        <v>83</v>
      </c>
      <c r="AB9" s="0" t="n">
        <v>88</v>
      </c>
      <c r="AC9" s="0" t="n">
        <v>73</v>
      </c>
      <c r="AD9" s="0" t="n">
        <v>78</v>
      </c>
      <c r="AE9" s="0" t="n">
        <v>5505</v>
      </c>
      <c r="AF9" s="0" t="n">
        <v>2001774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84</v>
      </c>
    </row>
    <row r="10" customFormat="false" ht="15" hidden="false" customHeight="false" outlineLevel="0" collapsed="false">
      <c r="A10" s="0" t="s">
        <v>137</v>
      </c>
      <c r="B10" s="0" t="s">
        <v>138</v>
      </c>
      <c r="C10" s="0" t="s">
        <v>52</v>
      </c>
      <c r="D10" s="0" t="s">
        <v>36</v>
      </c>
      <c r="E10" s="0" t="n">
        <v>11</v>
      </c>
      <c r="F10" s="0" t="n">
        <v>1998</v>
      </c>
      <c r="G10" s="0" t="n">
        <v>8</v>
      </c>
      <c r="H10" s="0" t="n">
        <v>10</v>
      </c>
      <c r="J10" s="0" t="n">
        <v>2.03</v>
      </c>
      <c r="K10" s="0" t="n">
        <v>106</v>
      </c>
      <c r="L10" s="0" t="n">
        <v>92</v>
      </c>
      <c r="M10" s="0" t="n">
        <v>69</v>
      </c>
      <c r="N10" s="0" t="n">
        <v>70</v>
      </c>
      <c r="O10" s="0" t="n">
        <v>60</v>
      </c>
      <c r="P10" s="0" t="n">
        <v>83</v>
      </c>
      <c r="Q10" s="0" t="n">
        <v>84</v>
      </c>
      <c r="R10" s="0" t="n">
        <v>57</v>
      </c>
      <c r="S10" s="0" t="n">
        <v>60</v>
      </c>
      <c r="T10" s="0" t="n">
        <v>83</v>
      </c>
      <c r="U10" s="0" t="n">
        <v>91</v>
      </c>
      <c r="V10" s="0" t="n">
        <v>86</v>
      </c>
      <c r="W10" s="0" t="n">
        <v>62</v>
      </c>
      <c r="X10" s="0" t="n">
        <v>90</v>
      </c>
      <c r="Y10" s="0" t="n">
        <v>70</v>
      </c>
      <c r="Z10" s="0" t="n">
        <v>56</v>
      </c>
      <c r="AA10" s="0" t="n">
        <v>86</v>
      </c>
      <c r="AB10" s="0" t="n">
        <v>88</v>
      </c>
      <c r="AC10" s="0" t="n">
        <v>70</v>
      </c>
      <c r="AD10" s="0" t="n">
        <v>73</v>
      </c>
      <c r="AE10" s="0" t="n">
        <v>9060</v>
      </c>
      <c r="AF10" s="0" t="n">
        <v>2003934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82</v>
      </c>
    </row>
    <row r="11" customFormat="false" ht="15" hidden="false" customHeight="false" outlineLevel="0" collapsed="false">
      <c r="A11" s="0" t="s">
        <v>139</v>
      </c>
      <c r="B11" s="0" t="s">
        <v>140</v>
      </c>
      <c r="C11" s="0" t="s">
        <v>39</v>
      </c>
      <c r="D11" s="0" t="s">
        <v>36</v>
      </c>
      <c r="E11" s="0" t="n">
        <v>14</v>
      </c>
      <c r="F11" s="0" t="n">
        <v>2002</v>
      </c>
      <c r="G11" s="0" t="n">
        <v>8</v>
      </c>
      <c r="H11" s="0" t="n">
        <v>11</v>
      </c>
      <c r="J11" s="0" t="n">
        <v>2.07</v>
      </c>
      <c r="K11" s="0" t="n">
        <v>95</v>
      </c>
      <c r="L11" s="0" t="n">
        <v>82</v>
      </c>
      <c r="M11" s="0" t="n">
        <v>74</v>
      </c>
      <c r="N11" s="0" t="n">
        <v>67</v>
      </c>
      <c r="O11" s="0" t="n">
        <v>69</v>
      </c>
      <c r="P11" s="0" t="n">
        <v>79</v>
      </c>
      <c r="Q11" s="0" t="n">
        <v>79</v>
      </c>
      <c r="R11" s="0" t="n">
        <v>65</v>
      </c>
      <c r="S11" s="0" t="n">
        <v>67</v>
      </c>
      <c r="T11" s="0" t="n">
        <v>78</v>
      </c>
      <c r="U11" s="0" t="n">
        <v>85</v>
      </c>
      <c r="V11" s="0" t="n">
        <v>80</v>
      </c>
      <c r="W11" s="0" t="n">
        <v>67</v>
      </c>
      <c r="X11" s="0" t="n">
        <v>88</v>
      </c>
      <c r="Y11" s="0" t="n">
        <v>73</v>
      </c>
      <c r="Z11" s="0" t="n">
        <v>69</v>
      </c>
      <c r="AA11" s="0" t="n">
        <v>84</v>
      </c>
      <c r="AB11" s="0" t="n">
        <v>87</v>
      </c>
      <c r="AC11" s="0" t="n">
        <v>73</v>
      </c>
      <c r="AD11" s="0" t="n">
        <v>74</v>
      </c>
      <c r="AE11" s="0" t="n">
        <v>5504</v>
      </c>
      <c r="AF11" s="0" t="n">
        <v>2001764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79</v>
      </c>
    </row>
    <row r="12" customFormat="false" ht="15" hidden="false" customHeight="false" outlineLevel="0" collapsed="false">
      <c r="A12" s="0" t="s">
        <v>141</v>
      </c>
      <c r="B12" s="0" t="s">
        <v>142</v>
      </c>
      <c r="C12" s="0" t="s">
        <v>42</v>
      </c>
      <c r="D12" s="0" t="s">
        <v>36</v>
      </c>
      <c r="E12" s="0" t="n">
        <v>1</v>
      </c>
      <c r="F12" s="0" t="n">
        <v>2002</v>
      </c>
      <c r="G12" s="0" t="n">
        <v>3</v>
      </c>
      <c r="H12" s="0" t="n">
        <v>22</v>
      </c>
      <c r="J12" s="0" t="n">
        <v>1.91</v>
      </c>
      <c r="K12" s="0" t="n">
        <v>82</v>
      </c>
      <c r="L12" s="0" t="n">
        <v>79</v>
      </c>
      <c r="M12" s="0" t="n">
        <v>82</v>
      </c>
      <c r="N12" s="0" t="n">
        <v>67</v>
      </c>
      <c r="O12" s="0" t="n">
        <v>89</v>
      </c>
      <c r="P12" s="0" t="n">
        <v>86</v>
      </c>
      <c r="Q12" s="0" t="n">
        <v>65</v>
      </c>
      <c r="R12" s="0" t="n">
        <v>89</v>
      </c>
      <c r="S12" s="0" t="n">
        <v>75</v>
      </c>
      <c r="T12" s="0" t="n">
        <v>59</v>
      </c>
      <c r="U12" s="0" t="n">
        <v>58</v>
      </c>
      <c r="V12" s="0" t="n">
        <v>58</v>
      </c>
      <c r="W12" s="0" t="n">
        <v>79</v>
      </c>
      <c r="X12" s="0" t="n">
        <v>57</v>
      </c>
      <c r="Y12" s="0" t="n">
        <v>62</v>
      </c>
      <c r="Z12" s="0" t="n">
        <v>91</v>
      </c>
      <c r="AA12" s="0" t="n">
        <v>84</v>
      </c>
      <c r="AB12" s="0" t="n">
        <v>78</v>
      </c>
      <c r="AC12" s="0" t="n">
        <v>76</v>
      </c>
      <c r="AD12" s="0" t="n">
        <v>78</v>
      </c>
      <c r="AE12" s="0" t="n">
        <v>9065</v>
      </c>
      <c r="AF12" s="0" t="n">
        <v>2003969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81</v>
      </c>
    </row>
    <row r="13" customFormat="false" ht="15" hidden="false" customHeight="false" outlineLevel="0" collapsed="false">
      <c r="A13" s="0" t="s">
        <v>143</v>
      </c>
      <c r="B13" s="0" t="s">
        <v>144</v>
      </c>
      <c r="C13" s="0" t="s">
        <v>52</v>
      </c>
      <c r="D13" s="0" t="s">
        <v>36</v>
      </c>
      <c r="E13" s="0" t="n">
        <v>22</v>
      </c>
      <c r="F13" s="0" t="n">
        <v>1998</v>
      </c>
      <c r="G13" s="0" t="n">
        <v>1</v>
      </c>
      <c r="H13" s="0" t="n">
        <v>22</v>
      </c>
      <c r="J13" s="0" t="n">
        <v>2.08</v>
      </c>
      <c r="K13" s="0" t="n">
        <v>116</v>
      </c>
      <c r="L13" s="0" t="n">
        <v>91</v>
      </c>
      <c r="M13" s="0" t="n">
        <v>68</v>
      </c>
      <c r="N13" s="0" t="n">
        <v>51</v>
      </c>
      <c r="O13" s="0" t="n">
        <v>60</v>
      </c>
      <c r="P13" s="0" t="n">
        <v>82</v>
      </c>
      <c r="Q13" s="0" t="n">
        <v>83</v>
      </c>
      <c r="R13" s="0" t="n">
        <v>56</v>
      </c>
      <c r="S13" s="0" t="n">
        <v>59</v>
      </c>
      <c r="T13" s="0" t="n">
        <v>82</v>
      </c>
      <c r="U13" s="0" t="n">
        <v>95</v>
      </c>
      <c r="V13" s="0" t="n">
        <v>88</v>
      </c>
      <c r="W13" s="0" t="n">
        <v>61</v>
      </c>
      <c r="X13" s="0" t="n">
        <v>89</v>
      </c>
      <c r="Y13" s="0" t="n">
        <v>89</v>
      </c>
      <c r="Z13" s="0" t="n">
        <v>52</v>
      </c>
      <c r="AA13" s="0" t="n">
        <v>85</v>
      </c>
      <c r="AB13" s="0" t="n">
        <v>87</v>
      </c>
      <c r="AC13" s="0" t="n">
        <v>68</v>
      </c>
      <c r="AD13" s="0" t="n">
        <v>72</v>
      </c>
      <c r="AE13" s="0" t="n">
        <v>5502</v>
      </c>
      <c r="AF13" s="0" t="n">
        <v>2001759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84</v>
      </c>
    </row>
    <row r="14" customFormat="false" ht="15" hidden="false" customHeight="false" outlineLevel="0" collapsed="false">
      <c r="A14" s="0" t="s">
        <v>145</v>
      </c>
      <c r="B14" s="0" t="s">
        <v>146</v>
      </c>
      <c r="C14" s="0" t="s">
        <v>45</v>
      </c>
      <c r="D14" s="0" t="s">
        <v>36</v>
      </c>
      <c r="E14" s="0" t="n">
        <v>6</v>
      </c>
      <c r="F14" s="0" t="n">
        <v>2008</v>
      </c>
      <c r="G14" s="0" t="n">
        <v>5</v>
      </c>
      <c r="H14" s="0" t="n">
        <v>2</v>
      </c>
      <c r="J14" s="0" t="n">
        <v>2.05</v>
      </c>
      <c r="K14" s="0" t="n">
        <v>85</v>
      </c>
      <c r="L14" s="0" t="n">
        <v>74</v>
      </c>
      <c r="M14" s="0" t="n">
        <v>74</v>
      </c>
      <c r="N14" s="0" t="n">
        <v>67</v>
      </c>
      <c r="O14" s="0" t="n">
        <v>60</v>
      </c>
      <c r="P14" s="0" t="n">
        <v>78</v>
      </c>
      <c r="Q14" s="0" t="n">
        <v>70</v>
      </c>
      <c r="R14" s="0" t="n">
        <v>69</v>
      </c>
      <c r="S14" s="0" t="n">
        <v>63</v>
      </c>
      <c r="T14" s="0" t="n">
        <v>56</v>
      </c>
      <c r="U14" s="0" t="n">
        <v>66</v>
      </c>
      <c r="V14" s="0" t="n">
        <v>61</v>
      </c>
      <c r="W14" s="0" t="n">
        <v>68</v>
      </c>
      <c r="X14" s="0" t="n">
        <v>63</v>
      </c>
      <c r="Y14" s="0" t="n">
        <v>63</v>
      </c>
      <c r="Z14" s="0" t="n">
        <v>78</v>
      </c>
      <c r="AA14" s="0" t="n">
        <v>77</v>
      </c>
      <c r="AB14" s="0" t="n">
        <v>73</v>
      </c>
      <c r="AC14" s="0" t="n">
        <v>66</v>
      </c>
      <c r="AD14" s="0" t="n">
        <v>66</v>
      </c>
      <c r="AE14" s="0" t="n">
        <v>9105</v>
      </c>
      <c r="AF14" s="0" t="n">
        <v>2002957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70</v>
      </c>
    </row>
    <row r="15" customFormat="false" ht="15" hidden="false" customHeight="false" outlineLevel="0" collapsed="false">
      <c r="A15" s="0" t="s">
        <v>147</v>
      </c>
      <c r="B15" s="0" t="s">
        <v>148</v>
      </c>
      <c r="C15" s="0" t="s">
        <v>42</v>
      </c>
      <c r="D15" s="0" t="s">
        <v>36</v>
      </c>
      <c r="E15" s="0" t="n">
        <v>17</v>
      </c>
      <c r="F15" s="0" t="n">
        <v>1999</v>
      </c>
      <c r="G15" s="0" t="n">
        <v>1</v>
      </c>
      <c r="H15" s="0" t="n">
        <v>21</v>
      </c>
      <c r="J15" s="0" t="n">
        <v>1.88</v>
      </c>
      <c r="K15" s="0" t="n">
        <v>85</v>
      </c>
      <c r="L15" s="0" t="n">
        <v>73</v>
      </c>
      <c r="M15" s="0" t="n">
        <v>76</v>
      </c>
      <c r="N15" s="0" t="n">
        <v>60</v>
      </c>
      <c r="O15" s="0" t="n">
        <v>60</v>
      </c>
      <c r="P15" s="0" t="n">
        <v>80</v>
      </c>
      <c r="Q15" s="0" t="n">
        <v>59</v>
      </c>
      <c r="R15" s="0" t="n">
        <v>79</v>
      </c>
      <c r="S15" s="0" t="n">
        <v>68</v>
      </c>
      <c r="T15" s="0" t="n">
        <v>53</v>
      </c>
      <c r="U15" s="0" t="n">
        <v>52</v>
      </c>
      <c r="V15" s="0" t="n">
        <v>52</v>
      </c>
      <c r="W15" s="0" t="n">
        <v>73</v>
      </c>
      <c r="X15" s="0" t="n">
        <v>51</v>
      </c>
      <c r="Y15" s="0" t="n">
        <v>56</v>
      </c>
      <c r="Z15" s="0" t="n">
        <v>83</v>
      </c>
      <c r="AA15" s="0" t="n">
        <v>78</v>
      </c>
      <c r="AB15" s="0" t="n">
        <v>72</v>
      </c>
      <c r="AC15" s="0" t="n">
        <v>70</v>
      </c>
      <c r="AD15" s="0" t="n">
        <v>72</v>
      </c>
      <c r="AE15" s="0" t="n">
        <v>5524</v>
      </c>
      <c r="AF15" s="0" t="n">
        <v>2001840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149</v>
      </c>
      <c r="B2" s="0" t="s">
        <v>150</v>
      </c>
      <c r="C2" s="0" t="s">
        <v>35</v>
      </c>
      <c r="D2" s="0" t="s">
        <v>36</v>
      </c>
      <c r="E2" s="0" t="n">
        <v>4</v>
      </c>
      <c r="F2" s="0" t="n">
        <v>1999</v>
      </c>
      <c r="G2" s="0" t="n">
        <v>10</v>
      </c>
      <c r="H2" s="0" t="n">
        <v>28</v>
      </c>
      <c r="J2" s="0" t="n">
        <v>1.88</v>
      </c>
      <c r="K2" s="0" t="n">
        <v>82</v>
      </c>
      <c r="L2" s="0" t="n">
        <v>82</v>
      </c>
      <c r="M2" s="0" t="n">
        <v>87</v>
      </c>
      <c r="N2" s="0" t="n">
        <v>67</v>
      </c>
      <c r="O2" s="0" t="n">
        <v>95</v>
      </c>
      <c r="P2" s="0" t="n">
        <v>93</v>
      </c>
      <c r="Q2" s="0" t="n">
        <v>66</v>
      </c>
      <c r="R2" s="0" t="n">
        <v>99</v>
      </c>
      <c r="S2" s="0" t="n">
        <v>99</v>
      </c>
      <c r="T2" s="0" t="n">
        <v>61</v>
      </c>
      <c r="U2" s="0" t="n">
        <v>56</v>
      </c>
      <c r="V2" s="0" t="n">
        <v>56</v>
      </c>
      <c r="W2" s="0" t="n">
        <v>95</v>
      </c>
      <c r="X2" s="0" t="n">
        <v>60</v>
      </c>
      <c r="Y2" s="0" t="n">
        <v>62</v>
      </c>
      <c r="Z2" s="0" t="n">
        <v>96</v>
      </c>
      <c r="AA2" s="0" t="n">
        <v>87</v>
      </c>
      <c r="AB2" s="0" t="n">
        <v>82</v>
      </c>
      <c r="AC2" s="0" t="n">
        <v>81</v>
      </c>
      <c r="AD2" s="0" t="n">
        <v>81</v>
      </c>
      <c r="AE2" s="0" t="n">
        <v>9026</v>
      </c>
      <c r="AF2" s="0" t="n">
        <v>2001905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91</v>
      </c>
    </row>
    <row r="3" customFormat="false" ht="15" hidden="false" customHeight="false" outlineLevel="0" collapsed="false">
      <c r="A3" s="0" t="s">
        <v>151</v>
      </c>
      <c r="B3" s="0" t="s">
        <v>152</v>
      </c>
      <c r="C3" s="0" t="s">
        <v>45</v>
      </c>
      <c r="D3" s="0" t="s">
        <v>36</v>
      </c>
      <c r="E3" s="0" t="n">
        <v>13</v>
      </c>
      <c r="F3" s="0" t="n">
        <v>2001</v>
      </c>
      <c r="G3" s="0" t="n">
        <v>4</v>
      </c>
      <c r="H3" s="0" t="n">
        <v>19</v>
      </c>
      <c r="J3" s="0" t="n">
        <v>1.95</v>
      </c>
      <c r="K3" s="0" t="n">
        <v>98</v>
      </c>
      <c r="L3" s="0" t="n">
        <v>97</v>
      </c>
      <c r="M3" s="0" t="n">
        <v>87</v>
      </c>
      <c r="N3" s="0" t="n">
        <v>92</v>
      </c>
      <c r="O3" s="0" t="n">
        <v>88</v>
      </c>
      <c r="P3" s="0" t="n">
        <v>99</v>
      </c>
      <c r="Q3" s="0" t="n">
        <v>79</v>
      </c>
      <c r="R3" s="0" t="n">
        <v>79</v>
      </c>
      <c r="S3" s="0" t="n">
        <v>74</v>
      </c>
      <c r="T3" s="0" t="n">
        <v>71</v>
      </c>
      <c r="U3" s="0" t="n">
        <v>77</v>
      </c>
      <c r="V3" s="0" t="n">
        <v>70</v>
      </c>
      <c r="W3" s="0" t="n">
        <v>80</v>
      </c>
      <c r="X3" s="0" t="n">
        <v>75</v>
      </c>
      <c r="Y3" s="0" t="n">
        <v>77</v>
      </c>
      <c r="Z3" s="0" t="n">
        <v>85</v>
      </c>
      <c r="AA3" s="0" t="n">
        <v>86</v>
      </c>
      <c r="AB3" s="0" t="n">
        <v>85</v>
      </c>
      <c r="AC3" s="0" t="n">
        <v>82</v>
      </c>
      <c r="AD3" s="0" t="n">
        <v>83</v>
      </c>
      <c r="AE3" s="0" t="n">
        <v>9163</v>
      </c>
      <c r="AF3" s="0" t="n">
        <v>2004674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88</v>
      </c>
    </row>
    <row r="4" customFormat="false" ht="15" hidden="false" customHeight="false" outlineLevel="0" collapsed="false">
      <c r="A4" s="0" t="s">
        <v>153</v>
      </c>
      <c r="B4" s="0" t="s">
        <v>154</v>
      </c>
      <c r="C4" s="0" t="s">
        <v>39</v>
      </c>
      <c r="D4" s="0" t="s">
        <v>36</v>
      </c>
      <c r="E4" s="0" t="n">
        <v>35</v>
      </c>
      <c r="F4" s="0" t="n">
        <v>1991</v>
      </c>
      <c r="G4" s="0" t="n">
        <v>6</v>
      </c>
      <c r="H4" s="0" t="n">
        <v>12</v>
      </c>
      <c r="J4" s="0" t="n">
        <v>1.96</v>
      </c>
      <c r="K4" s="0" t="n">
        <v>100</v>
      </c>
      <c r="L4" s="0" t="n">
        <v>87</v>
      </c>
      <c r="M4" s="0" t="n">
        <v>79</v>
      </c>
      <c r="N4" s="0" t="n">
        <v>87</v>
      </c>
      <c r="O4" s="0" t="n">
        <v>80</v>
      </c>
      <c r="P4" s="0" t="n">
        <v>84</v>
      </c>
      <c r="Q4" s="0" t="n">
        <v>83</v>
      </c>
      <c r="R4" s="0" t="n">
        <v>70</v>
      </c>
      <c r="S4" s="0" t="n">
        <v>73</v>
      </c>
      <c r="T4" s="0" t="n">
        <v>82</v>
      </c>
      <c r="U4" s="0" t="n">
        <v>86</v>
      </c>
      <c r="V4" s="0" t="n">
        <v>80</v>
      </c>
      <c r="W4" s="0" t="n">
        <v>73</v>
      </c>
      <c r="X4" s="0" t="n">
        <v>88</v>
      </c>
      <c r="Y4" s="0" t="n">
        <v>69</v>
      </c>
      <c r="Z4" s="0" t="n">
        <v>67</v>
      </c>
      <c r="AA4" s="0" t="n">
        <v>76</v>
      </c>
      <c r="AB4" s="0" t="n">
        <v>87</v>
      </c>
      <c r="AC4" s="0" t="n">
        <v>82</v>
      </c>
      <c r="AD4" s="0" t="n">
        <v>86</v>
      </c>
      <c r="AE4" s="0" t="n">
        <v>9162</v>
      </c>
      <c r="AF4" s="0" t="n">
        <v>2004673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84</v>
      </c>
    </row>
    <row r="5" customFormat="false" ht="15" hidden="false" customHeight="false" outlineLevel="0" collapsed="false">
      <c r="A5" s="0" t="s">
        <v>155</v>
      </c>
      <c r="B5" s="0" t="s">
        <v>156</v>
      </c>
      <c r="C5" s="0" t="s">
        <v>42</v>
      </c>
      <c r="D5" s="0" t="s">
        <v>36</v>
      </c>
      <c r="E5" s="0" t="n">
        <v>10</v>
      </c>
      <c r="F5" s="0" t="n">
        <v>2000</v>
      </c>
      <c r="G5" s="0" t="n">
        <v>3</v>
      </c>
      <c r="H5" s="0" t="n">
        <v>23</v>
      </c>
      <c r="J5" s="0" t="n">
        <v>1.94</v>
      </c>
      <c r="K5" s="0" t="n">
        <v>87</v>
      </c>
      <c r="L5" s="0" t="n">
        <v>82</v>
      </c>
      <c r="M5" s="0" t="n">
        <v>85</v>
      </c>
      <c r="N5" s="0" t="n">
        <v>94</v>
      </c>
      <c r="O5" s="0" t="n">
        <v>90</v>
      </c>
      <c r="P5" s="0" t="n">
        <v>86</v>
      </c>
      <c r="Q5" s="0" t="n">
        <v>69</v>
      </c>
      <c r="R5" s="0" t="n">
        <v>84</v>
      </c>
      <c r="S5" s="0" t="n">
        <v>75</v>
      </c>
      <c r="T5" s="0" t="n">
        <v>61</v>
      </c>
      <c r="U5" s="0" t="n">
        <v>63</v>
      </c>
      <c r="V5" s="0" t="n">
        <v>63</v>
      </c>
      <c r="W5" s="0" t="n">
        <v>83</v>
      </c>
      <c r="X5" s="0" t="n">
        <v>58</v>
      </c>
      <c r="Y5" s="0" t="n">
        <v>63</v>
      </c>
      <c r="Z5" s="0" t="n">
        <v>88</v>
      </c>
      <c r="AA5" s="0" t="n">
        <v>85</v>
      </c>
      <c r="AB5" s="0" t="n">
        <v>79</v>
      </c>
      <c r="AC5" s="0" t="n">
        <v>78</v>
      </c>
      <c r="AD5" s="0" t="n">
        <v>80</v>
      </c>
      <c r="AE5" s="0" t="n">
        <v>9164</v>
      </c>
      <c r="AF5" s="0" t="n">
        <v>2004675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85</v>
      </c>
    </row>
    <row r="6" customFormat="false" ht="15" hidden="false" customHeight="false" outlineLevel="0" collapsed="false">
      <c r="A6" s="0" t="s">
        <v>157</v>
      </c>
      <c r="B6" s="0" t="s">
        <v>100</v>
      </c>
      <c r="C6" s="0" t="s">
        <v>35</v>
      </c>
      <c r="D6" s="0" t="s">
        <v>36</v>
      </c>
      <c r="E6" s="0" t="n">
        <v>30</v>
      </c>
      <c r="F6" s="0" t="n">
        <v>2001</v>
      </c>
      <c r="G6" s="0" t="n">
        <v>3</v>
      </c>
      <c r="H6" s="0" t="n">
        <v>30</v>
      </c>
      <c r="J6" s="0" t="n">
        <v>1.9</v>
      </c>
      <c r="K6" s="0" t="n">
        <v>84</v>
      </c>
      <c r="L6" s="0" t="n">
        <v>78</v>
      </c>
      <c r="M6" s="0" t="n">
        <v>83</v>
      </c>
      <c r="N6" s="0" t="n">
        <v>67</v>
      </c>
      <c r="O6" s="0" t="n">
        <v>93</v>
      </c>
      <c r="P6" s="0" t="n">
        <v>89</v>
      </c>
      <c r="Q6" s="0" t="n">
        <v>63</v>
      </c>
      <c r="R6" s="0" t="n">
        <v>94</v>
      </c>
      <c r="S6" s="0" t="n">
        <v>90</v>
      </c>
      <c r="T6" s="0" t="n">
        <v>58</v>
      </c>
      <c r="U6" s="0" t="n">
        <v>54</v>
      </c>
      <c r="V6" s="0" t="n">
        <v>54</v>
      </c>
      <c r="W6" s="0" t="n">
        <v>93</v>
      </c>
      <c r="X6" s="0" t="n">
        <v>61</v>
      </c>
      <c r="Y6" s="0" t="n">
        <v>58</v>
      </c>
      <c r="Z6" s="0" t="n">
        <v>94</v>
      </c>
      <c r="AA6" s="0" t="n">
        <v>85</v>
      </c>
      <c r="AB6" s="0" t="n">
        <v>83</v>
      </c>
      <c r="AC6" s="0" t="n">
        <v>78</v>
      </c>
      <c r="AD6" s="0" t="n">
        <v>79</v>
      </c>
      <c r="AE6" s="0" t="n">
        <v>9027</v>
      </c>
      <c r="AF6" s="0" t="n">
        <v>2001908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86</v>
      </c>
    </row>
    <row r="7" customFormat="false" ht="15" hidden="false" customHeight="false" outlineLevel="0" collapsed="false">
      <c r="A7" s="0" t="s">
        <v>158</v>
      </c>
      <c r="B7" s="0" t="s">
        <v>159</v>
      </c>
      <c r="C7" s="0" t="s">
        <v>39</v>
      </c>
      <c r="D7" s="0" t="s">
        <v>36</v>
      </c>
      <c r="E7" s="0" t="n">
        <v>6</v>
      </c>
      <c r="F7" s="0" t="n">
        <v>1994</v>
      </c>
      <c r="G7" s="0" t="n">
        <v>8</v>
      </c>
      <c r="H7" s="0" t="n">
        <v>22</v>
      </c>
      <c r="J7" s="0" t="n">
        <v>2.03</v>
      </c>
      <c r="K7" s="0" t="n">
        <v>98</v>
      </c>
      <c r="L7" s="0" t="n">
        <v>82</v>
      </c>
      <c r="M7" s="0" t="n">
        <v>74</v>
      </c>
      <c r="N7" s="0" t="n">
        <v>77</v>
      </c>
      <c r="O7" s="0" t="n">
        <v>77</v>
      </c>
      <c r="P7" s="0" t="n">
        <v>79</v>
      </c>
      <c r="Q7" s="0" t="n">
        <v>79</v>
      </c>
      <c r="R7" s="0" t="n">
        <v>69</v>
      </c>
      <c r="S7" s="0" t="n">
        <v>70</v>
      </c>
      <c r="T7" s="0" t="n">
        <v>78</v>
      </c>
      <c r="U7" s="0" t="n">
        <v>83</v>
      </c>
      <c r="V7" s="0" t="n">
        <v>77</v>
      </c>
      <c r="W7" s="0" t="n">
        <v>67</v>
      </c>
      <c r="X7" s="0" t="n">
        <v>88</v>
      </c>
      <c r="Y7" s="0" t="n">
        <v>69</v>
      </c>
      <c r="Z7" s="0" t="n">
        <v>66</v>
      </c>
      <c r="AA7" s="0" t="n">
        <v>81</v>
      </c>
      <c r="AB7" s="0" t="n">
        <v>87</v>
      </c>
      <c r="AC7" s="0" t="n">
        <v>76</v>
      </c>
      <c r="AD7" s="0" t="n">
        <v>79</v>
      </c>
      <c r="AE7" s="0" t="n">
        <v>9165</v>
      </c>
      <c r="AF7" s="0" t="n">
        <v>2004677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79</v>
      </c>
    </row>
    <row r="8" customFormat="false" ht="15" hidden="false" customHeight="false" outlineLevel="0" collapsed="false">
      <c r="A8" s="0" t="s">
        <v>40</v>
      </c>
      <c r="B8" s="0" t="s">
        <v>160</v>
      </c>
      <c r="C8" s="0" t="s">
        <v>52</v>
      </c>
      <c r="D8" s="0" t="s">
        <v>36</v>
      </c>
      <c r="E8" s="0" t="n">
        <v>26</v>
      </c>
      <c r="F8" s="0" t="n">
        <v>1999</v>
      </c>
      <c r="G8" s="0" t="n">
        <v>8</v>
      </c>
      <c r="H8" s="0" t="n">
        <v>24</v>
      </c>
      <c r="J8" s="0" t="n">
        <v>2.08</v>
      </c>
      <c r="K8" s="0" t="n">
        <v>118</v>
      </c>
      <c r="L8" s="0" t="n">
        <v>86</v>
      </c>
      <c r="M8" s="0" t="n">
        <v>69</v>
      </c>
      <c r="N8" s="0" t="n">
        <v>60</v>
      </c>
      <c r="O8" s="0" t="n">
        <v>60</v>
      </c>
      <c r="P8" s="0" t="n">
        <v>77</v>
      </c>
      <c r="Q8" s="0" t="n">
        <v>84</v>
      </c>
      <c r="R8" s="0" t="n">
        <v>57</v>
      </c>
      <c r="S8" s="0" t="n">
        <v>60</v>
      </c>
      <c r="T8" s="0" t="n">
        <v>81</v>
      </c>
      <c r="U8" s="0" t="n">
        <v>96</v>
      </c>
      <c r="V8" s="0" t="n">
        <v>89</v>
      </c>
      <c r="W8" s="0" t="n">
        <v>62</v>
      </c>
      <c r="X8" s="0" t="n">
        <v>90</v>
      </c>
      <c r="Y8" s="0" t="n">
        <v>80</v>
      </c>
      <c r="Z8" s="0" t="n">
        <v>53</v>
      </c>
      <c r="AA8" s="0" t="n">
        <v>86</v>
      </c>
      <c r="AB8" s="0" t="n">
        <v>88</v>
      </c>
      <c r="AC8" s="0" t="n">
        <v>70</v>
      </c>
      <c r="AD8" s="0" t="n">
        <v>73</v>
      </c>
      <c r="AE8" s="0" t="n">
        <v>9028</v>
      </c>
      <c r="AF8" s="0" t="n">
        <v>2001911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83</v>
      </c>
    </row>
    <row r="9" customFormat="false" ht="15" hidden="false" customHeight="false" outlineLevel="0" collapsed="false">
      <c r="A9" s="0" t="s">
        <v>161</v>
      </c>
      <c r="B9" s="0" t="s">
        <v>162</v>
      </c>
      <c r="C9" s="0" t="s">
        <v>39</v>
      </c>
      <c r="D9" s="0" t="s">
        <v>36</v>
      </c>
      <c r="E9" s="0" t="n">
        <v>12</v>
      </c>
      <c r="F9" s="0" t="n">
        <v>1996</v>
      </c>
      <c r="G9" s="0" t="n">
        <v>3</v>
      </c>
      <c r="H9" s="0" t="n">
        <v>15</v>
      </c>
      <c r="J9" s="0" t="n">
        <v>2.03</v>
      </c>
      <c r="K9" s="0" t="n">
        <v>98</v>
      </c>
      <c r="L9" s="0" t="n">
        <v>82</v>
      </c>
      <c r="M9" s="0" t="n">
        <v>74</v>
      </c>
      <c r="N9" s="0" t="n">
        <v>67</v>
      </c>
      <c r="O9" s="0" t="n">
        <v>77</v>
      </c>
      <c r="P9" s="0" t="n">
        <v>79</v>
      </c>
      <c r="Q9" s="0" t="n">
        <v>79</v>
      </c>
      <c r="R9" s="0" t="n">
        <v>65</v>
      </c>
      <c r="S9" s="0" t="n">
        <v>69</v>
      </c>
      <c r="T9" s="0" t="n">
        <v>78</v>
      </c>
      <c r="U9" s="0" t="n">
        <v>83</v>
      </c>
      <c r="V9" s="0" t="n">
        <v>77</v>
      </c>
      <c r="W9" s="0" t="n">
        <v>67</v>
      </c>
      <c r="X9" s="0" t="n">
        <v>88</v>
      </c>
      <c r="Y9" s="0" t="n">
        <v>69</v>
      </c>
      <c r="Z9" s="0" t="n">
        <v>66</v>
      </c>
      <c r="AA9" s="0" t="n">
        <v>81</v>
      </c>
      <c r="AB9" s="0" t="n">
        <v>87</v>
      </c>
      <c r="AC9" s="0" t="n">
        <v>76</v>
      </c>
      <c r="AD9" s="0" t="n">
        <v>79</v>
      </c>
      <c r="AE9" s="0" t="n">
        <v>9019</v>
      </c>
      <c r="AF9" s="0" t="n">
        <v>2000441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79</v>
      </c>
    </row>
    <row r="10" customFormat="false" ht="15" hidden="false" customHeight="false" outlineLevel="0" collapsed="false">
      <c r="A10" s="0" t="s">
        <v>111</v>
      </c>
      <c r="B10" s="0" t="s">
        <v>163</v>
      </c>
      <c r="C10" s="0" t="s">
        <v>52</v>
      </c>
      <c r="D10" s="0" t="s">
        <v>36</v>
      </c>
      <c r="E10" s="0" t="n">
        <v>5</v>
      </c>
      <c r="F10" s="0" t="n">
        <v>1998</v>
      </c>
      <c r="G10" s="0" t="n">
        <v>11</v>
      </c>
      <c r="H10" s="0" t="n">
        <v>3</v>
      </c>
      <c r="J10" s="0" t="n">
        <v>2.1</v>
      </c>
      <c r="K10" s="0" t="n">
        <v>116</v>
      </c>
      <c r="L10" s="0" t="n">
        <v>91</v>
      </c>
      <c r="M10" s="0" t="n">
        <v>68</v>
      </c>
      <c r="N10" s="0" t="n">
        <v>56</v>
      </c>
      <c r="O10" s="0" t="n">
        <v>60</v>
      </c>
      <c r="P10" s="0" t="n">
        <v>82</v>
      </c>
      <c r="Q10" s="0" t="n">
        <v>85</v>
      </c>
      <c r="R10" s="0" t="n">
        <v>56</v>
      </c>
      <c r="S10" s="0" t="n">
        <v>59</v>
      </c>
      <c r="T10" s="0" t="n">
        <v>82</v>
      </c>
      <c r="U10" s="0" t="n">
        <v>99</v>
      </c>
      <c r="V10" s="0" t="n">
        <v>94</v>
      </c>
      <c r="W10" s="0" t="n">
        <v>61</v>
      </c>
      <c r="X10" s="0" t="n">
        <v>97</v>
      </c>
      <c r="Y10" s="0" t="n">
        <v>80</v>
      </c>
      <c r="Z10" s="0" t="n">
        <v>50</v>
      </c>
      <c r="AA10" s="0" t="n">
        <v>85</v>
      </c>
      <c r="AB10" s="0" t="n">
        <v>90</v>
      </c>
      <c r="AC10" s="0" t="n">
        <v>69</v>
      </c>
      <c r="AD10" s="0" t="n">
        <v>72</v>
      </c>
      <c r="AE10" s="0" t="n">
        <v>9018</v>
      </c>
      <c r="AF10" s="0" t="n">
        <v>2000439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86</v>
      </c>
    </row>
    <row r="11" customFormat="false" ht="15" hidden="false" customHeight="false" outlineLevel="0" collapsed="false">
      <c r="A11" s="0" t="s">
        <v>164</v>
      </c>
      <c r="B11" s="0" t="s">
        <v>165</v>
      </c>
      <c r="C11" s="0" t="s">
        <v>35</v>
      </c>
      <c r="D11" s="0" t="s">
        <v>36</v>
      </c>
      <c r="E11" s="0" t="n">
        <v>3</v>
      </c>
      <c r="F11" s="0" t="n">
        <v>2001</v>
      </c>
      <c r="G11" s="0" t="n">
        <v>11</v>
      </c>
      <c r="H11" s="0" t="n">
        <v>9</v>
      </c>
      <c r="J11" s="0" t="n">
        <v>1.8</v>
      </c>
      <c r="K11" s="0" t="n">
        <v>72</v>
      </c>
      <c r="L11" s="0" t="n">
        <v>75</v>
      </c>
      <c r="M11" s="0" t="n">
        <v>80</v>
      </c>
      <c r="N11" s="0" t="n">
        <v>60</v>
      </c>
      <c r="O11" s="0" t="n">
        <v>93</v>
      </c>
      <c r="P11" s="0" t="n">
        <v>87</v>
      </c>
      <c r="Q11" s="0" t="n">
        <v>59</v>
      </c>
      <c r="R11" s="0" t="n">
        <v>99</v>
      </c>
      <c r="S11" s="0" t="n">
        <v>90</v>
      </c>
      <c r="T11" s="0" t="n">
        <v>55</v>
      </c>
      <c r="U11" s="0" t="n">
        <v>50</v>
      </c>
      <c r="V11" s="0" t="n">
        <v>50</v>
      </c>
      <c r="W11" s="0" t="n">
        <v>94</v>
      </c>
      <c r="X11" s="0" t="n">
        <v>55</v>
      </c>
      <c r="Y11" s="0" t="n">
        <v>55</v>
      </c>
      <c r="Z11" s="0" t="n">
        <v>95</v>
      </c>
      <c r="AA11" s="0" t="n">
        <v>82</v>
      </c>
      <c r="AB11" s="0" t="n">
        <v>77</v>
      </c>
      <c r="AC11" s="0" t="n">
        <v>75</v>
      </c>
      <c r="AD11" s="0" t="n">
        <v>76</v>
      </c>
      <c r="AE11" s="0" t="n">
        <v>9184</v>
      </c>
      <c r="AF11" s="0" t="n">
        <v>2004987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84</v>
      </c>
    </row>
    <row r="12" customFormat="false" ht="15" hidden="false" customHeight="false" outlineLevel="0" collapsed="false">
      <c r="A12" s="0" t="s">
        <v>72</v>
      </c>
      <c r="B12" s="0" t="s">
        <v>166</v>
      </c>
      <c r="C12" s="0" t="s">
        <v>39</v>
      </c>
      <c r="D12" s="0" t="s">
        <v>36</v>
      </c>
      <c r="E12" s="0" t="n">
        <v>24</v>
      </c>
      <c r="F12" s="0" t="n">
        <v>2003</v>
      </c>
      <c r="G12" s="0" t="n">
        <v>4</v>
      </c>
      <c r="H12" s="0" t="n">
        <v>24</v>
      </c>
      <c r="J12" s="0" t="n">
        <v>2.03</v>
      </c>
      <c r="K12" s="0" t="n">
        <v>108</v>
      </c>
      <c r="L12" s="0" t="n">
        <v>88</v>
      </c>
      <c r="M12" s="0" t="n">
        <v>70</v>
      </c>
      <c r="N12" s="0" t="n">
        <v>66</v>
      </c>
      <c r="O12" s="0" t="n">
        <v>60</v>
      </c>
      <c r="P12" s="0" t="n">
        <v>85</v>
      </c>
      <c r="Q12" s="0" t="n">
        <v>75</v>
      </c>
      <c r="R12" s="0" t="n">
        <v>61</v>
      </c>
      <c r="S12" s="0" t="n">
        <v>63</v>
      </c>
      <c r="T12" s="0" t="n">
        <v>77</v>
      </c>
      <c r="U12" s="0" t="n">
        <v>82</v>
      </c>
      <c r="V12" s="0" t="n">
        <v>73</v>
      </c>
      <c r="W12" s="0" t="n">
        <v>63</v>
      </c>
      <c r="X12" s="0" t="n">
        <v>81</v>
      </c>
      <c r="Y12" s="0" t="n">
        <v>79</v>
      </c>
      <c r="Z12" s="0" t="n">
        <v>62</v>
      </c>
      <c r="AA12" s="0" t="n">
        <v>80</v>
      </c>
      <c r="AB12" s="0" t="n">
        <v>80</v>
      </c>
      <c r="AC12" s="0" t="n">
        <v>68</v>
      </c>
      <c r="AD12" s="0" t="n">
        <v>70</v>
      </c>
      <c r="AE12" s="0" t="n">
        <v>9166</v>
      </c>
      <c r="AF12" s="0" t="n">
        <v>2004682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76</v>
      </c>
    </row>
    <row r="13" customFormat="false" ht="15" hidden="false" customHeight="false" outlineLevel="0" collapsed="false">
      <c r="A13" s="0" t="s">
        <v>167</v>
      </c>
      <c r="B13" s="0" t="s">
        <v>168</v>
      </c>
      <c r="C13" s="0" t="s">
        <v>35</v>
      </c>
      <c r="D13" s="0" t="s">
        <v>36</v>
      </c>
      <c r="E13" s="0" t="n">
        <v>1</v>
      </c>
      <c r="F13" s="0" t="n">
        <v>2006</v>
      </c>
      <c r="G13" s="0" t="n">
        <v>12</v>
      </c>
      <c r="H13" s="0" t="n">
        <v>20</v>
      </c>
      <c r="J13" s="0" t="n">
        <v>1.88</v>
      </c>
      <c r="K13" s="0" t="n">
        <v>90</v>
      </c>
      <c r="L13" s="0" t="n">
        <v>72</v>
      </c>
      <c r="M13" s="0" t="n">
        <v>77</v>
      </c>
      <c r="N13" s="0" t="n">
        <v>72</v>
      </c>
      <c r="O13" s="0" t="n">
        <v>82</v>
      </c>
      <c r="P13" s="0" t="n">
        <v>83</v>
      </c>
      <c r="Q13" s="0" t="n">
        <v>59</v>
      </c>
      <c r="R13" s="0" t="n">
        <v>88</v>
      </c>
      <c r="S13" s="0" t="n">
        <v>82</v>
      </c>
      <c r="T13" s="0" t="n">
        <v>52</v>
      </c>
      <c r="U13" s="0" t="n">
        <v>50</v>
      </c>
      <c r="V13" s="0" t="n">
        <v>50</v>
      </c>
      <c r="W13" s="0" t="n">
        <v>84</v>
      </c>
      <c r="X13" s="0" t="n">
        <v>52</v>
      </c>
      <c r="Y13" s="0" t="n">
        <v>52</v>
      </c>
      <c r="Z13" s="0" t="n">
        <v>90</v>
      </c>
      <c r="AA13" s="0" t="n">
        <v>79</v>
      </c>
      <c r="AB13" s="0" t="n">
        <v>74</v>
      </c>
      <c r="AC13" s="0" t="n">
        <v>67</v>
      </c>
      <c r="AD13" s="0" t="n">
        <v>67</v>
      </c>
      <c r="AE13" s="0" t="n">
        <v>9167</v>
      </c>
      <c r="AF13" s="0" t="n">
        <v>2004683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169</v>
      </c>
      <c r="B2" s="0" t="s">
        <v>170</v>
      </c>
      <c r="C2" s="0" t="s">
        <v>35</v>
      </c>
      <c r="D2" s="0" t="s">
        <v>36</v>
      </c>
      <c r="E2" s="0" t="n">
        <v>3</v>
      </c>
      <c r="F2" s="0" t="n">
        <v>1999</v>
      </c>
      <c r="G2" s="0" t="n">
        <v>3</v>
      </c>
      <c r="H2" s="0" t="n">
        <v>4</v>
      </c>
      <c r="J2" s="0" t="n">
        <v>1.8</v>
      </c>
      <c r="K2" s="0" t="n">
        <v>76</v>
      </c>
      <c r="L2" s="0" t="n">
        <v>84</v>
      </c>
      <c r="M2" s="0" t="n">
        <v>89</v>
      </c>
      <c r="N2" s="0" t="n">
        <v>67</v>
      </c>
      <c r="O2" s="0" t="n">
        <v>69</v>
      </c>
      <c r="P2" s="0" t="n">
        <v>96</v>
      </c>
      <c r="Q2" s="0" t="n">
        <v>66</v>
      </c>
      <c r="R2" s="0" t="n">
        <v>99</v>
      </c>
      <c r="S2" s="0" t="n">
        <v>96</v>
      </c>
      <c r="T2" s="0" t="n">
        <v>63</v>
      </c>
      <c r="U2" s="0" t="n">
        <v>54</v>
      </c>
      <c r="V2" s="0" t="n">
        <v>54</v>
      </c>
      <c r="W2" s="0" t="n">
        <v>99</v>
      </c>
      <c r="X2" s="0" t="n">
        <v>60</v>
      </c>
      <c r="Y2" s="0" t="n">
        <v>60</v>
      </c>
      <c r="Z2" s="0" t="n">
        <v>98</v>
      </c>
      <c r="AA2" s="0" t="n">
        <v>87</v>
      </c>
      <c r="AB2" s="0" t="n">
        <v>82</v>
      </c>
      <c r="AC2" s="0" t="n">
        <v>80</v>
      </c>
      <c r="AD2" s="0" t="n">
        <v>84</v>
      </c>
      <c r="AE2" s="0" t="n">
        <v>9144</v>
      </c>
      <c r="AF2" s="0" t="n">
        <v>2004462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91</v>
      </c>
    </row>
    <row r="3" customFormat="false" ht="15" hidden="false" customHeight="false" outlineLevel="0" collapsed="false">
      <c r="A3" s="0" t="s">
        <v>171</v>
      </c>
      <c r="B3" s="0" t="s">
        <v>104</v>
      </c>
      <c r="C3" s="0" t="s">
        <v>35</v>
      </c>
      <c r="D3" s="0" t="s">
        <v>36</v>
      </c>
      <c r="E3" s="0" t="n">
        <v>5</v>
      </c>
      <c r="F3" s="0" t="n">
        <v>1992</v>
      </c>
      <c r="G3" s="0" t="n">
        <v>5</v>
      </c>
      <c r="H3" s="0" t="n">
        <v>7</v>
      </c>
      <c r="J3" s="0" t="n">
        <v>1.93</v>
      </c>
      <c r="K3" s="0" t="n">
        <v>94</v>
      </c>
      <c r="L3" s="0" t="n">
        <v>81</v>
      </c>
      <c r="M3" s="0" t="n">
        <v>86</v>
      </c>
      <c r="N3" s="0" t="n">
        <v>67</v>
      </c>
      <c r="O3" s="0" t="n">
        <v>69</v>
      </c>
      <c r="P3" s="0" t="n">
        <v>89</v>
      </c>
      <c r="Q3" s="0" t="n">
        <v>67</v>
      </c>
      <c r="R3" s="0" t="n">
        <v>99</v>
      </c>
      <c r="S3" s="0" t="n">
        <v>99</v>
      </c>
      <c r="T3" s="0" t="n">
        <v>60</v>
      </c>
      <c r="U3" s="0" t="n">
        <v>59</v>
      </c>
      <c r="V3" s="0" t="n">
        <v>59</v>
      </c>
      <c r="W3" s="0" t="n">
        <v>94</v>
      </c>
      <c r="X3" s="0" t="n">
        <v>59</v>
      </c>
      <c r="Y3" s="0" t="n">
        <v>61</v>
      </c>
      <c r="Z3" s="0" t="n">
        <v>88</v>
      </c>
      <c r="AA3" s="0" t="n">
        <v>83</v>
      </c>
      <c r="AB3" s="0" t="n">
        <v>81</v>
      </c>
      <c r="AC3" s="0" t="n">
        <v>83</v>
      </c>
      <c r="AD3" s="0" t="n">
        <v>85</v>
      </c>
      <c r="AE3" s="0" t="n">
        <v>9143</v>
      </c>
      <c r="AF3" s="0" t="n">
        <v>2004461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90</v>
      </c>
    </row>
    <row r="4" customFormat="false" ht="15" hidden="false" customHeight="false" outlineLevel="0" collapsed="false">
      <c r="A4" s="0" t="s">
        <v>172</v>
      </c>
      <c r="B4" s="0" t="s">
        <v>173</v>
      </c>
      <c r="C4" s="0" t="s">
        <v>39</v>
      </c>
      <c r="D4" s="0" t="s">
        <v>36</v>
      </c>
      <c r="E4" s="0" t="n">
        <v>25</v>
      </c>
      <c r="F4" s="0" t="n">
        <v>1999</v>
      </c>
      <c r="G4" s="0" t="n">
        <v>5</v>
      </c>
      <c r="H4" s="0" t="n">
        <v>5</v>
      </c>
      <c r="J4" s="0" t="n">
        <v>2.03</v>
      </c>
      <c r="K4" s="0" t="n">
        <v>100</v>
      </c>
      <c r="L4" s="0" t="n">
        <v>89</v>
      </c>
      <c r="M4" s="0" t="n">
        <v>78</v>
      </c>
      <c r="N4" s="0" t="n">
        <v>67</v>
      </c>
      <c r="O4" s="0" t="n">
        <v>60</v>
      </c>
      <c r="P4" s="0" t="n">
        <v>86</v>
      </c>
      <c r="Q4" s="0" t="n">
        <v>82</v>
      </c>
      <c r="R4" s="0" t="n">
        <v>67</v>
      </c>
      <c r="S4" s="0" t="n">
        <v>69</v>
      </c>
      <c r="T4" s="0" t="n">
        <v>82</v>
      </c>
      <c r="U4" s="0" t="n">
        <v>85</v>
      </c>
      <c r="V4" s="0" t="n">
        <v>79</v>
      </c>
      <c r="W4" s="0" t="n">
        <v>69</v>
      </c>
      <c r="X4" s="0" t="n">
        <v>90</v>
      </c>
      <c r="Y4" s="0" t="n">
        <v>90</v>
      </c>
      <c r="Z4" s="0" t="n">
        <v>71</v>
      </c>
      <c r="AA4" s="0" t="n">
        <v>86</v>
      </c>
      <c r="AB4" s="0" t="n">
        <v>89</v>
      </c>
      <c r="AC4" s="0" t="n">
        <v>76</v>
      </c>
      <c r="AD4" s="0" t="n">
        <v>77</v>
      </c>
      <c r="AE4" s="0" t="n">
        <v>9408</v>
      </c>
      <c r="AF4" s="0" t="n">
        <v>2003029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84</v>
      </c>
    </row>
    <row r="5" customFormat="false" ht="15" hidden="false" customHeight="false" outlineLevel="0" collapsed="false">
      <c r="A5" s="0" t="s">
        <v>81</v>
      </c>
      <c r="B5" s="0" t="s">
        <v>174</v>
      </c>
      <c r="C5" s="0" t="s">
        <v>45</v>
      </c>
      <c r="D5" s="0" t="s">
        <v>36</v>
      </c>
      <c r="E5" s="0" t="n">
        <v>12</v>
      </c>
      <c r="F5" s="0" t="n">
        <v>1989</v>
      </c>
      <c r="G5" s="0" t="n">
        <v>1</v>
      </c>
      <c r="H5" s="0" t="n">
        <v>25</v>
      </c>
      <c r="J5" s="0" t="n">
        <v>2.1</v>
      </c>
      <c r="K5" s="0" t="n">
        <v>108</v>
      </c>
      <c r="L5" s="0" t="n">
        <v>84</v>
      </c>
      <c r="M5" s="0" t="n">
        <v>84</v>
      </c>
      <c r="N5" s="0" t="n">
        <v>67</v>
      </c>
      <c r="O5" s="0" t="n">
        <v>87</v>
      </c>
      <c r="P5" s="0" t="n">
        <v>88</v>
      </c>
      <c r="Q5" s="0" t="n">
        <v>79</v>
      </c>
      <c r="R5" s="0" t="n">
        <v>81</v>
      </c>
      <c r="S5" s="0" t="n">
        <v>77</v>
      </c>
      <c r="T5" s="0" t="n">
        <v>65</v>
      </c>
      <c r="U5" s="0" t="n">
        <v>83</v>
      </c>
      <c r="V5" s="0" t="n">
        <v>80</v>
      </c>
      <c r="W5" s="0" t="n">
        <v>76</v>
      </c>
      <c r="X5" s="0" t="n">
        <v>76</v>
      </c>
      <c r="Y5" s="0" t="n">
        <v>76</v>
      </c>
      <c r="Z5" s="0" t="n">
        <v>62</v>
      </c>
      <c r="AA5" s="0" t="n">
        <v>74</v>
      </c>
      <c r="AB5" s="0" t="n">
        <v>81</v>
      </c>
      <c r="AC5" s="0" t="n">
        <v>83</v>
      </c>
      <c r="AD5" s="0" t="n">
        <v>89</v>
      </c>
      <c r="AE5" s="0" t="n">
        <v>5040</v>
      </c>
      <c r="AF5" s="0" t="n">
        <v>57676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85</v>
      </c>
    </row>
    <row r="6" customFormat="false" ht="15" hidden="false" customHeight="false" outlineLevel="0" collapsed="false">
      <c r="A6" s="0" t="s">
        <v>143</v>
      </c>
      <c r="B6" s="0" t="s">
        <v>134</v>
      </c>
      <c r="C6" s="0" t="s">
        <v>45</v>
      </c>
      <c r="D6" s="0" t="s">
        <v>36</v>
      </c>
      <c r="E6" s="0" t="n">
        <v>6</v>
      </c>
      <c r="F6" s="0" t="n">
        <v>2002</v>
      </c>
      <c r="G6" s="0" t="n">
        <v>7</v>
      </c>
      <c r="H6" s="0" t="n">
        <v>22</v>
      </c>
      <c r="J6" s="0" t="n">
        <v>1.96</v>
      </c>
      <c r="K6" s="0" t="n">
        <v>106</v>
      </c>
      <c r="L6" s="0" t="n">
        <v>82</v>
      </c>
      <c r="M6" s="0" t="n">
        <v>82</v>
      </c>
      <c r="N6" s="0" t="n">
        <v>75</v>
      </c>
      <c r="O6" s="0" t="n">
        <v>60</v>
      </c>
      <c r="P6" s="0" t="n">
        <v>86</v>
      </c>
      <c r="Q6" s="0" t="n">
        <v>76</v>
      </c>
      <c r="R6" s="0" t="n">
        <v>79</v>
      </c>
      <c r="S6" s="0" t="n">
        <v>73</v>
      </c>
      <c r="T6" s="0" t="n">
        <v>64</v>
      </c>
      <c r="U6" s="0" t="n">
        <v>79</v>
      </c>
      <c r="V6" s="0" t="n">
        <v>69</v>
      </c>
      <c r="W6" s="0" t="n">
        <v>76</v>
      </c>
      <c r="X6" s="0" t="n">
        <v>74</v>
      </c>
      <c r="Y6" s="0" t="n">
        <v>70</v>
      </c>
      <c r="Z6" s="0" t="n">
        <v>81</v>
      </c>
      <c r="AA6" s="0" t="n">
        <v>85</v>
      </c>
      <c r="AB6" s="0" t="n">
        <v>84</v>
      </c>
      <c r="AC6" s="0" t="n">
        <v>79</v>
      </c>
      <c r="AD6" s="0" t="n">
        <v>80</v>
      </c>
      <c r="AE6" s="0" t="n">
        <v>9146</v>
      </c>
      <c r="AF6" s="0" t="n">
        <v>2004464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81</v>
      </c>
    </row>
    <row r="7" customFormat="false" ht="15" hidden="false" customHeight="false" outlineLevel="0" collapsed="false">
      <c r="A7" s="0" t="s">
        <v>175</v>
      </c>
      <c r="B7" s="0" t="s">
        <v>176</v>
      </c>
      <c r="C7" s="0" t="s">
        <v>35</v>
      </c>
      <c r="D7" s="0" t="s">
        <v>36</v>
      </c>
      <c r="E7" s="0" t="n">
        <v>13</v>
      </c>
      <c r="F7" s="0" t="n">
        <v>1995</v>
      </c>
      <c r="G7" s="0" t="n">
        <v>3</v>
      </c>
      <c r="H7" s="0" t="n">
        <v>7</v>
      </c>
      <c r="J7" s="0" t="n">
        <v>1.84</v>
      </c>
      <c r="K7" s="0" t="n">
        <v>88</v>
      </c>
      <c r="L7" s="0" t="n">
        <v>78</v>
      </c>
      <c r="M7" s="0" t="n">
        <v>83</v>
      </c>
      <c r="N7" s="0" t="n">
        <v>67</v>
      </c>
      <c r="O7" s="0" t="n">
        <v>93</v>
      </c>
      <c r="P7" s="0" t="n">
        <v>90</v>
      </c>
      <c r="Q7" s="0" t="n">
        <v>62</v>
      </c>
      <c r="R7" s="0" t="n">
        <v>95</v>
      </c>
      <c r="S7" s="0" t="n">
        <v>92</v>
      </c>
      <c r="T7" s="0" t="n">
        <v>58</v>
      </c>
      <c r="U7" s="0" t="n">
        <v>52</v>
      </c>
      <c r="V7" s="0" t="n">
        <v>52</v>
      </c>
      <c r="W7" s="0" t="n">
        <v>94</v>
      </c>
      <c r="X7" s="0" t="n">
        <v>58</v>
      </c>
      <c r="Y7" s="0" t="n">
        <v>58</v>
      </c>
      <c r="Z7" s="0" t="n">
        <v>91</v>
      </c>
      <c r="AA7" s="0" t="n">
        <v>82</v>
      </c>
      <c r="AB7" s="0" t="n">
        <v>80</v>
      </c>
      <c r="AC7" s="0" t="n">
        <v>80</v>
      </c>
      <c r="AD7" s="0" t="n">
        <v>84</v>
      </c>
      <c r="AE7" s="0" t="n">
        <v>5135</v>
      </c>
      <c r="AF7" s="0" t="n">
        <v>2001575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87</v>
      </c>
    </row>
    <row r="8" customFormat="false" ht="15" hidden="false" customHeight="false" outlineLevel="0" collapsed="false">
      <c r="A8" s="0" t="s">
        <v>177</v>
      </c>
      <c r="B8" s="0" t="s">
        <v>178</v>
      </c>
      <c r="C8" s="0" t="s">
        <v>35</v>
      </c>
      <c r="D8" s="0" t="s">
        <v>36</v>
      </c>
      <c r="E8" s="0" t="n">
        <v>1</v>
      </c>
      <c r="F8" s="0" t="n">
        <v>2000</v>
      </c>
      <c r="G8" s="0" t="n">
        <v>3</v>
      </c>
      <c r="H8" s="0" t="n">
        <v>10</v>
      </c>
      <c r="J8" s="0" t="n">
        <v>1.82</v>
      </c>
      <c r="K8" s="0" t="n">
        <v>79</v>
      </c>
      <c r="L8" s="0" t="n">
        <v>77</v>
      </c>
      <c r="M8" s="0" t="n">
        <v>82</v>
      </c>
      <c r="N8" s="0" t="n">
        <v>77</v>
      </c>
      <c r="O8" s="0" t="n">
        <v>69</v>
      </c>
      <c r="P8" s="0" t="n">
        <v>89</v>
      </c>
      <c r="Q8" s="0" t="n">
        <v>61</v>
      </c>
      <c r="R8" s="0" t="n">
        <v>93</v>
      </c>
      <c r="S8" s="0" t="n">
        <v>89</v>
      </c>
      <c r="T8" s="0" t="n">
        <v>57</v>
      </c>
      <c r="U8" s="0" t="n">
        <v>51</v>
      </c>
      <c r="V8" s="0" t="n">
        <v>51</v>
      </c>
      <c r="W8" s="0" t="n">
        <v>93</v>
      </c>
      <c r="X8" s="0" t="n">
        <v>57</v>
      </c>
      <c r="Y8" s="0" t="n">
        <v>57</v>
      </c>
      <c r="Z8" s="0" t="n">
        <v>95</v>
      </c>
      <c r="AA8" s="0" t="n">
        <v>84</v>
      </c>
      <c r="AB8" s="0" t="n">
        <v>79</v>
      </c>
      <c r="AC8" s="0" t="n">
        <v>76</v>
      </c>
      <c r="AD8" s="0" t="n">
        <v>77</v>
      </c>
      <c r="AE8" s="0" t="n">
        <v>9145</v>
      </c>
      <c r="AF8" s="0" t="n">
        <v>2004463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85</v>
      </c>
    </row>
    <row r="9" customFormat="false" ht="15" hidden="false" customHeight="false" outlineLevel="0" collapsed="false">
      <c r="A9" s="0" t="s">
        <v>179</v>
      </c>
      <c r="B9" s="0" t="s">
        <v>180</v>
      </c>
      <c r="C9" s="0" t="s">
        <v>52</v>
      </c>
      <c r="D9" s="0" t="s">
        <v>36</v>
      </c>
      <c r="E9" s="0" t="n">
        <v>18</v>
      </c>
      <c r="F9" s="0" t="n">
        <v>1993</v>
      </c>
      <c r="G9" s="0" t="n">
        <v>1</v>
      </c>
      <c r="H9" s="0" t="n">
        <v>26</v>
      </c>
      <c r="J9" s="0" t="n">
        <v>2.04</v>
      </c>
      <c r="K9" s="0" t="n">
        <v>105</v>
      </c>
      <c r="L9" s="0" t="n">
        <v>96</v>
      </c>
      <c r="M9" s="0" t="n">
        <v>69</v>
      </c>
      <c r="N9" s="0" t="n">
        <v>60</v>
      </c>
      <c r="O9" s="0" t="n">
        <v>69</v>
      </c>
      <c r="P9" s="0" t="n">
        <v>87</v>
      </c>
      <c r="Q9" s="0" t="n">
        <v>84</v>
      </c>
      <c r="R9" s="0" t="n">
        <v>57</v>
      </c>
      <c r="S9" s="0" t="n">
        <v>62</v>
      </c>
      <c r="T9" s="0" t="n">
        <v>84</v>
      </c>
      <c r="U9" s="0" t="n">
        <v>91</v>
      </c>
      <c r="V9" s="0" t="n">
        <v>86</v>
      </c>
      <c r="W9" s="0" t="n">
        <v>62</v>
      </c>
      <c r="X9" s="0" t="n">
        <v>90</v>
      </c>
      <c r="Y9" s="0" t="n">
        <v>87</v>
      </c>
      <c r="Z9" s="0" t="n">
        <v>53</v>
      </c>
      <c r="AA9" s="0" t="n">
        <v>83</v>
      </c>
      <c r="AB9" s="0" t="n">
        <v>88</v>
      </c>
      <c r="AC9" s="0" t="n">
        <v>72</v>
      </c>
      <c r="AD9" s="0" t="n">
        <v>78</v>
      </c>
      <c r="AE9" s="0" t="n">
        <v>5134</v>
      </c>
      <c r="AF9" s="0" t="n">
        <v>2001574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86</v>
      </c>
    </row>
    <row r="10" customFormat="false" ht="15" hidden="false" customHeight="false" outlineLevel="0" collapsed="false">
      <c r="A10" s="0" t="s">
        <v>181</v>
      </c>
      <c r="B10" s="0" t="s">
        <v>182</v>
      </c>
      <c r="C10" s="0" t="s">
        <v>42</v>
      </c>
      <c r="D10" s="0" t="s">
        <v>36</v>
      </c>
      <c r="E10" s="0" t="n">
        <v>14</v>
      </c>
      <c r="F10" s="0" t="n">
        <v>1997</v>
      </c>
      <c r="G10" s="0" t="n">
        <v>6</v>
      </c>
      <c r="H10" s="0" t="n">
        <v>2</v>
      </c>
      <c r="J10" s="0" t="n">
        <v>1.97</v>
      </c>
      <c r="K10" s="0" t="n">
        <v>94</v>
      </c>
      <c r="L10" s="0" t="n">
        <v>78</v>
      </c>
      <c r="M10" s="0" t="n">
        <v>81</v>
      </c>
      <c r="N10" s="0" t="n">
        <v>67</v>
      </c>
      <c r="O10" s="0" t="n">
        <v>69</v>
      </c>
      <c r="P10" s="0" t="n">
        <v>82</v>
      </c>
      <c r="Q10" s="0" t="n">
        <v>66</v>
      </c>
      <c r="R10" s="0" t="n">
        <v>82</v>
      </c>
      <c r="S10" s="0" t="n">
        <v>73</v>
      </c>
      <c r="T10" s="0" t="n">
        <v>58</v>
      </c>
      <c r="U10" s="0" t="n">
        <v>61</v>
      </c>
      <c r="V10" s="0" t="n">
        <v>61</v>
      </c>
      <c r="W10" s="0" t="n">
        <v>78</v>
      </c>
      <c r="X10" s="0" t="n">
        <v>56</v>
      </c>
      <c r="Y10" s="0" t="n">
        <v>63</v>
      </c>
      <c r="Z10" s="0" t="n">
        <v>86</v>
      </c>
      <c r="AA10" s="0" t="n">
        <v>83</v>
      </c>
      <c r="AB10" s="0" t="n">
        <v>77</v>
      </c>
      <c r="AC10" s="0" t="n">
        <v>76</v>
      </c>
      <c r="AD10" s="0" t="n">
        <v>77</v>
      </c>
      <c r="AE10" s="0" t="n">
        <v>5023</v>
      </c>
      <c r="AF10" s="0" t="n">
        <v>6247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78</v>
      </c>
    </row>
    <row r="11" customFormat="false" ht="15" hidden="false" customHeight="false" outlineLevel="0" collapsed="false">
      <c r="A11" s="0" t="s">
        <v>183</v>
      </c>
      <c r="B11" s="0" t="s">
        <v>184</v>
      </c>
      <c r="C11" s="0" t="s">
        <v>52</v>
      </c>
      <c r="D11" s="0" t="s">
        <v>36</v>
      </c>
      <c r="E11" s="0" t="n">
        <v>15</v>
      </c>
      <c r="F11" s="0" t="n">
        <v>2006</v>
      </c>
      <c r="G11" s="0" t="n">
        <v>7</v>
      </c>
      <c r="H11" s="0" t="n">
        <v>4</v>
      </c>
      <c r="J11" s="0" t="n">
        <v>2</v>
      </c>
      <c r="K11" s="0" t="n">
        <v>90</v>
      </c>
      <c r="L11" s="0" t="n">
        <v>90</v>
      </c>
      <c r="M11" s="0" t="n">
        <v>63</v>
      </c>
      <c r="N11" s="0" t="n">
        <v>51</v>
      </c>
      <c r="O11" s="0" t="n">
        <v>60</v>
      </c>
      <c r="P11" s="0" t="n">
        <v>81</v>
      </c>
      <c r="Q11" s="0" t="n">
        <v>80</v>
      </c>
      <c r="R11" s="0" t="n">
        <v>51</v>
      </c>
      <c r="S11" s="0" t="n">
        <v>52</v>
      </c>
      <c r="T11" s="0" t="n">
        <v>78</v>
      </c>
      <c r="U11" s="0" t="n">
        <v>80</v>
      </c>
      <c r="V11" s="0" t="n">
        <v>80</v>
      </c>
      <c r="W11" s="0" t="n">
        <v>56</v>
      </c>
      <c r="X11" s="0" t="n">
        <v>81</v>
      </c>
      <c r="Y11" s="0" t="n">
        <v>81</v>
      </c>
      <c r="Z11" s="0" t="n">
        <v>57</v>
      </c>
      <c r="AA11" s="0" t="n">
        <v>80</v>
      </c>
      <c r="AB11" s="0" t="n">
        <v>79</v>
      </c>
      <c r="AC11" s="0" t="n">
        <v>59</v>
      </c>
      <c r="AD11" s="0" t="n">
        <v>61</v>
      </c>
      <c r="AE11" s="0" t="n">
        <v>5092</v>
      </c>
      <c r="AF11" s="0" t="n">
        <v>2000861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75</v>
      </c>
    </row>
    <row r="12" customFormat="false" ht="15" hidden="false" customHeight="false" outlineLevel="0" collapsed="false">
      <c r="A12" s="0" t="s">
        <v>185</v>
      </c>
      <c r="B12" s="0" t="s">
        <v>186</v>
      </c>
      <c r="C12" s="0" t="s">
        <v>35</v>
      </c>
      <c r="D12" s="0" t="s">
        <v>36</v>
      </c>
      <c r="E12" s="0" t="n">
        <v>11</v>
      </c>
      <c r="F12" s="0" t="n">
        <v>2009</v>
      </c>
      <c r="G12" s="0" t="n">
        <v>2</v>
      </c>
      <c r="H12" s="0" t="n">
        <v>26</v>
      </c>
      <c r="J12" s="0" t="n">
        <v>1.83</v>
      </c>
      <c r="K12" s="0" t="n">
        <v>80</v>
      </c>
      <c r="L12" s="0" t="n">
        <v>71</v>
      </c>
      <c r="M12" s="0" t="n">
        <v>76</v>
      </c>
      <c r="N12" s="0" t="n">
        <v>71</v>
      </c>
      <c r="O12" s="0" t="n">
        <v>81</v>
      </c>
      <c r="P12" s="0" t="n">
        <v>83</v>
      </c>
      <c r="Q12" s="0" t="n">
        <v>57</v>
      </c>
      <c r="R12" s="0" t="n">
        <v>88</v>
      </c>
      <c r="S12" s="0" t="n">
        <v>81</v>
      </c>
      <c r="T12" s="0" t="n">
        <v>51</v>
      </c>
      <c r="U12" s="0" t="n">
        <v>50</v>
      </c>
      <c r="V12" s="0" t="n">
        <v>50</v>
      </c>
      <c r="W12" s="0" t="n">
        <v>87</v>
      </c>
      <c r="X12" s="0" t="n">
        <v>51</v>
      </c>
      <c r="Y12" s="0" t="n">
        <v>51</v>
      </c>
      <c r="Z12" s="0" t="n">
        <v>93</v>
      </c>
      <c r="AA12" s="0" t="n">
        <v>78</v>
      </c>
      <c r="AB12" s="0" t="n">
        <v>73</v>
      </c>
      <c r="AC12" s="0" t="n">
        <v>66</v>
      </c>
      <c r="AD12" s="0" t="n">
        <v>66</v>
      </c>
      <c r="AE12" s="0" t="n">
        <v>9157</v>
      </c>
      <c r="AF12" s="0" t="n">
        <v>2004603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77</v>
      </c>
    </row>
    <row r="13" customFormat="false" ht="15" hidden="false" customHeight="false" outlineLevel="0" collapsed="false">
      <c r="A13" s="0" t="s">
        <v>187</v>
      </c>
      <c r="B13" s="0" t="s">
        <v>188</v>
      </c>
      <c r="C13" s="0" t="s">
        <v>35</v>
      </c>
      <c r="D13" s="0" t="s">
        <v>36</v>
      </c>
      <c r="E13" s="0" t="n">
        <v>2</v>
      </c>
      <c r="F13" s="0" t="n">
        <v>2009</v>
      </c>
      <c r="G13" s="0" t="n">
        <v>4</v>
      </c>
      <c r="H13" s="0" t="n">
        <v>13</v>
      </c>
      <c r="J13" s="0" t="n">
        <v>1.83</v>
      </c>
      <c r="K13" s="0" t="n">
        <v>75</v>
      </c>
      <c r="L13" s="0" t="n">
        <v>71</v>
      </c>
      <c r="M13" s="0" t="n">
        <v>76</v>
      </c>
      <c r="N13" s="0" t="n">
        <v>71</v>
      </c>
      <c r="O13" s="0" t="n">
        <v>81</v>
      </c>
      <c r="P13" s="0" t="n">
        <v>83</v>
      </c>
      <c r="Q13" s="0" t="n">
        <v>57</v>
      </c>
      <c r="R13" s="0" t="n">
        <v>88</v>
      </c>
      <c r="S13" s="0" t="n">
        <v>81</v>
      </c>
      <c r="T13" s="0" t="n">
        <v>51</v>
      </c>
      <c r="U13" s="0" t="n">
        <v>50</v>
      </c>
      <c r="V13" s="0" t="n">
        <v>50</v>
      </c>
      <c r="W13" s="0" t="n">
        <v>87</v>
      </c>
      <c r="X13" s="0" t="n">
        <v>51</v>
      </c>
      <c r="Y13" s="0" t="n">
        <v>51</v>
      </c>
      <c r="Z13" s="0" t="n">
        <v>93</v>
      </c>
      <c r="AA13" s="0" t="n">
        <v>78</v>
      </c>
      <c r="AB13" s="0" t="n">
        <v>73</v>
      </c>
      <c r="AC13" s="0" t="n">
        <v>66</v>
      </c>
      <c r="AD13" s="0" t="n">
        <v>66</v>
      </c>
      <c r="AE13" s="0" t="n">
        <v>9159</v>
      </c>
      <c r="AF13" s="0" t="n">
        <v>2004605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189</v>
      </c>
      <c r="B2" s="0" t="s">
        <v>190</v>
      </c>
      <c r="C2" s="0" t="s">
        <v>42</v>
      </c>
      <c r="D2" s="0" t="s">
        <v>36</v>
      </c>
      <c r="E2" s="0" t="n">
        <v>6</v>
      </c>
      <c r="F2" s="0" t="n">
        <v>1997</v>
      </c>
      <c r="G2" s="0" t="n">
        <v>11</v>
      </c>
      <c r="H2" s="0" t="n">
        <v>19</v>
      </c>
      <c r="J2" s="0" t="n">
        <v>1.91</v>
      </c>
      <c r="K2" s="0" t="n">
        <v>95</v>
      </c>
      <c r="L2" s="0" t="n">
        <v>85</v>
      </c>
      <c r="M2" s="0" t="n">
        <v>88</v>
      </c>
      <c r="N2" s="0" t="n">
        <v>67</v>
      </c>
      <c r="O2" s="0" t="n">
        <v>93</v>
      </c>
      <c r="P2" s="0" t="n">
        <v>92</v>
      </c>
      <c r="Q2" s="0" t="n">
        <v>70</v>
      </c>
      <c r="R2" s="0" t="n">
        <v>90</v>
      </c>
      <c r="S2" s="0" t="n">
        <v>81</v>
      </c>
      <c r="T2" s="0" t="n">
        <v>64</v>
      </c>
      <c r="U2" s="0" t="n">
        <v>64</v>
      </c>
      <c r="V2" s="0" t="n">
        <v>62</v>
      </c>
      <c r="W2" s="0" t="n">
        <v>90</v>
      </c>
      <c r="X2" s="0" t="n">
        <v>61</v>
      </c>
      <c r="Y2" s="0" t="n">
        <v>68</v>
      </c>
      <c r="Z2" s="0" t="n">
        <v>93</v>
      </c>
      <c r="AA2" s="0" t="n">
        <v>88</v>
      </c>
      <c r="AB2" s="0" t="n">
        <v>82</v>
      </c>
      <c r="AC2" s="0" t="n">
        <v>83</v>
      </c>
      <c r="AD2" s="0" t="n">
        <v>82</v>
      </c>
      <c r="AE2" s="0" t="n">
        <v>9057</v>
      </c>
      <c r="AF2" s="0" t="n">
        <v>2003864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87</v>
      </c>
    </row>
    <row r="3" customFormat="false" ht="15" hidden="false" customHeight="false" outlineLevel="0" collapsed="false">
      <c r="A3" s="0" t="s">
        <v>191</v>
      </c>
      <c r="B3" s="0" t="s">
        <v>192</v>
      </c>
      <c r="C3" s="0" t="s">
        <v>35</v>
      </c>
      <c r="D3" s="0" t="s">
        <v>36</v>
      </c>
      <c r="E3" s="0" t="n">
        <v>55</v>
      </c>
      <c r="F3" s="0" t="n">
        <v>1994</v>
      </c>
      <c r="G3" s="0" t="n">
        <v>2</v>
      </c>
      <c r="H3" s="0" t="n">
        <v>14</v>
      </c>
      <c r="J3" s="0" t="n">
        <v>1.88</v>
      </c>
      <c r="K3" s="0" t="n">
        <v>83</v>
      </c>
      <c r="L3" s="0" t="n">
        <v>80</v>
      </c>
      <c r="M3" s="0" t="n">
        <v>85</v>
      </c>
      <c r="N3" s="0" t="n">
        <v>67</v>
      </c>
      <c r="O3" s="0" t="n">
        <v>95</v>
      </c>
      <c r="P3" s="0" t="n">
        <v>91</v>
      </c>
      <c r="Q3" s="0" t="n">
        <v>65</v>
      </c>
      <c r="R3" s="0" t="n">
        <v>99</v>
      </c>
      <c r="S3" s="0" t="n">
        <v>99</v>
      </c>
      <c r="T3" s="0" t="n">
        <v>60</v>
      </c>
      <c r="U3" s="0" t="n">
        <v>56</v>
      </c>
      <c r="V3" s="0" t="n">
        <v>56</v>
      </c>
      <c r="W3" s="0" t="n">
        <v>92</v>
      </c>
      <c r="X3" s="0" t="n">
        <v>60</v>
      </c>
      <c r="Y3" s="0" t="n">
        <v>62</v>
      </c>
      <c r="Z3" s="0" t="n">
        <v>93</v>
      </c>
      <c r="AA3" s="0" t="n">
        <v>84</v>
      </c>
      <c r="AB3" s="0" t="n">
        <v>82</v>
      </c>
      <c r="AC3" s="0" t="n">
        <v>83</v>
      </c>
      <c r="AD3" s="0" t="n">
        <v>86</v>
      </c>
      <c r="AE3" s="0" t="n">
        <v>9043</v>
      </c>
      <c r="AF3" s="0" t="n">
        <v>2003170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90</v>
      </c>
    </row>
    <row r="4" customFormat="false" ht="15" hidden="false" customHeight="false" outlineLevel="0" collapsed="false">
      <c r="A4" s="0" t="s">
        <v>193</v>
      </c>
      <c r="B4" s="0" t="s">
        <v>194</v>
      </c>
      <c r="C4" s="0" t="s">
        <v>42</v>
      </c>
      <c r="D4" s="0" t="s">
        <v>36</v>
      </c>
      <c r="E4" s="0" t="n">
        <v>8</v>
      </c>
      <c r="F4" s="0" t="n">
        <v>1999</v>
      </c>
      <c r="G4" s="0" t="n">
        <v>8</v>
      </c>
      <c r="H4" s="0" t="n">
        <v>30</v>
      </c>
      <c r="J4" s="0" t="n">
        <v>1.88</v>
      </c>
      <c r="K4" s="0" t="n">
        <v>89</v>
      </c>
      <c r="L4" s="0" t="n">
        <v>84</v>
      </c>
      <c r="M4" s="0" t="n">
        <v>87</v>
      </c>
      <c r="N4" s="0" t="n">
        <v>67</v>
      </c>
      <c r="O4" s="0" t="n">
        <v>69</v>
      </c>
      <c r="P4" s="0" t="n">
        <v>91</v>
      </c>
      <c r="Q4" s="0" t="n">
        <v>69</v>
      </c>
      <c r="R4" s="0" t="n">
        <v>87</v>
      </c>
      <c r="S4" s="0" t="n">
        <v>77</v>
      </c>
      <c r="T4" s="0" t="n">
        <v>63</v>
      </c>
      <c r="U4" s="0" t="n">
        <v>61</v>
      </c>
      <c r="V4" s="0" t="n">
        <v>61</v>
      </c>
      <c r="W4" s="0" t="n">
        <v>82</v>
      </c>
      <c r="X4" s="0" t="n">
        <v>60</v>
      </c>
      <c r="Y4" s="0" t="n">
        <v>67</v>
      </c>
      <c r="Z4" s="0" t="n">
        <v>92</v>
      </c>
      <c r="AA4" s="0" t="n">
        <v>87</v>
      </c>
      <c r="AB4" s="0" t="n">
        <v>81</v>
      </c>
      <c r="AC4" s="0" t="n">
        <v>80</v>
      </c>
      <c r="AD4" s="0" t="n">
        <v>81</v>
      </c>
      <c r="AE4" s="0" t="n">
        <v>9041</v>
      </c>
      <c r="AF4" s="0" t="n">
        <v>2003168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83</v>
      </c>
    </row>
    <row r="5" customFormat="false" ht="15" hidden="false" customHeight="false" outlineLevel="0" collapsed="false">
      <c r="A5" s="0" t="s">
        <v>135</v>
      </c>
      <c r="B5" s="0" t="s">
        <v>195</v>
      </c>
      <c r="C5" s="0" t="s">
        <v>39</v>
      </c>
      <c r="D5" s="0" t="s">
        <v>36</v>
      </c>
      <c r="E5" s="0" t="n">
        <v>25</v>
      </c>
      <c r="F5" s="0" t="n">
        <v>2003</v>
      </c>
      <c r="G5" s="0" t="n">
        <v>2</v>
      </c>
      <c r="H5" s="0" t="n">
        <v>23</v>
      </c>
      <c r="J5" s="0" t="n">
        <v>2.01</v>
      </c>
      <c r="K5" s="0" t="n">
        <v>101</v>
      </c>
      <c r="L5" s="0" t="n">
        <v>84</v>
      </c>
      <c r="M5" s="0" t="n">
        <v>76</v>
      </c>
      <c r="N5" s="0" t="n">
        <v>72</v>
      </c>
      <c r="O5" s="0" t="n">
        <v>74</v>
      </c>
      <c r="P5" s="0" t="n">
        <v>81</v>
      </c>
      <c r="Q5" s="0" t="n">
        <v>81</v>
      </c>
      <c r="R5" s="0" t="n">
        <v>67</v>
      </c>
      <c r="S5" s="0" t="n">
        <v>69</v>
      </c>
      <c r="T5" s="0" t="n">
        <v>80</v>
      </c>
      <c r="U5" s="0" t="n">
        <v>85</v>
      </c>
      <c r="V5" s="0" t="n">
        <v>79</v>
      </c>
      <c r="W5" s="0" t="n">
        <v>69</v>
      </c>
      <c r="X5" s="0" t="n">
        <v>93</v>
      </c>
      <c r="Y5" s="0" t="n">
        <v>69</v>
      </c>
      <c r="Z5" s="0" t="n">
        <v>71</v>
      </c>
      <c r="AA5" s="0" t="n">
        <v>86</v>
      </c>
      <c r="AB5" s="0" t="n">
        <v>92</v>
      </c>
      <c r="AC5" s="0" t="n">
        <v>75</v>
      </c>
      <c r="AD5" s="0" t="n">
        <v>76</v>
      </c>
      <c r="AE5" s="0" t="n">
        <v>9196</v>
      </c>
      <c r="AF5" s="0" t="n">
        <v>2005213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81</v>
      </c>
    </row>
    <row r="6" customFormat="false" ht="15" hidden="false" customHeight="false" outlineLevel="0" collapsed="false">
      <c r="A6" s="0" t="s">
        <v>196</v>
      </c>
      <c r="B6" s="0" t="s">
        <v>197</v>
      </c>
      <c r="C6" s="0" t="s">
        <v>42</v>
      </c>
      <c r="D6" s="0" t="s">
        <v>36</v>
      </c>
      <c r="E6" s="0" t="n">
        <v>7</v>
      </c>
      <c r="F6" s="0" t="n">
        <v>2001</v>
      </c>
      <c r="G6" s="0" t="n">
        <v>7</v>
      </c>
      <c r="H6" s="0" t="n">
        <v>17</v>
      </c>
      <c r="J6" s="0" t="n">
        <v>1.93</v>
      </c>
      <c r="K6" s="0" t="n">
        <v>108</v>
      </c>
      <c r="L6" s="0" t="n">
        <v>83</v>
      </c>
      <c r="M6" s="0" t="n">
        <v>86</v>
      </c>
      <c r="N6" s="0" t="n">
        <v>88</v>
      </c>
      <c r="O6" s="0" t="n">
        <v>86</v>
      </c>
      <c r="P6" s="0" t="n">
        <v>87</v>
      </c>
      <c r="Q6" s="0" t="n">
        <v>70</v>
      </c>
      <c r="R6" s="0" t="n">
        <v>95</v>
      </c>
      <c r="S6" s="0" t="n">
        <v>82</v>
      </c>
      <c r="T6" s="0" t="n">
        <v>62</v>
      </c>
      <c r="U6" s="0" t="n">
        <v>69</v>
      </c>
      <c r="V6" s="0" t="n">
        <v>64</v>
      </c>
      <c r="W6" s="0" t="n">
        <v>81</v>
      </c>
      <c r="X6" s="0" t="n">
        <v>65</v>
      </c>
      <c r="Y6" s="0" t="n">
        <v>70</v>
      </c>
      <c r="Z6" s="0" t="n">
        <v>86</v>
      </c>
      <c r="AA6" s="0" t="n">
        <v>86</v>
      </c>
      <c r="AB6" s="0" t="n">
        <v>86</v>
      </c>
      <c r="AC6" s="0" t="n">
        <v>79</v>
      </c>
      <c r="AD6" s="0" t="n">
        <v>81</v>
      </c>
      <c r="AE6" s="0" t="n">
        <v>9197</v>
      </c>
      <c r="AF6" s="0" t="n">
        <v>2005235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87</v>
      </c>
    </row>
    <row r="7" customFormat="false" ht="15" hidden="false" customHeight="false" outlineLevel="0" collapsed="false">
      <c r="A7" s="0" t="s">
        <v>198</v>
      </c>
      <c r="B7" s="0" t="s">
        <v>143</v>
      </c>
      <c r="C7" s="0" t="s">
        <v>52</v>
      </c>
      <c r="D7" s="0" t="s">
        <v>36</v>
      </c>
      <c r="E7" s="0" t="n">
        <v>2</v>
      </c>
      <c r="F7" s="0" t="n">
        <v>1997</v>
      </c>
      <c r="G7" s="0" t="n">
        <v>5</v>
      </c>
      <c r="H7" s="0" t="n">
        <v>8</v>
      </c>
      <c r="J7" s="0" t="n">
        <v>2.03</v>
      </c>
      <c r="K7" s="0" t="n">
        <v>93</v>
      </c>
      <c r="L7" s="0" t="n">
        <v>99</v>
      </c>
      <c r="M7" s="0" t="n">
        <v>73</v>
      </c>
      <c r="N7" s="0" t="n">
        <v>61</v>
      </c>
      <c r="O7" s="0" t="n">
        <v>60</v>
      </c>
      <c r="P7" s="0" t="n">
        <v>91</v>
      </c>
      <c r="Q7" s="0" t="n">
        <v>87</v>
      </c>
      <c r="R7" s="0" t="n">
        <v>59</v>
      </c>
      <c r="S7" s="0" t="n">
        <v>62</v>
      </c>
      <c r="T7" s="0" t="n">
        <v>87</v>
      </c>
      <c r="U7" s="0" t="n">
        <v>88</v>
      </c>
      <c r="V7" s="0" t="n">
        <v>88</v>
      </c>
      <c r="W7" s="0" t="n">
        <v>64</v>
      </c>
      <c r="X7" s="0" t="n">
        <v>95</v>
      </c>
      <c r="Y7" s="0" t="n">
        <v>94</v>
      </c>
      <c r="Z7" s="0" t="n">
        <v>61</v>
      </c>
      <c r="AA7" s="0" t="n">
        <v>88</v>
      </c>
      <c r="AB7" s="0" t="n">
        <v>93</v>
      </c>
      <c r="AC7" s="0" t="n">
        <v>73</v>
      </c>
      <c r="AD7" s="0" t="n">
        <v>76</v>
      </c>
      <c r="AE7" s="0" t="n">
        <v>9128</v>
      </c>
      <c r="AF7" s="0" t="n">
        <v>2004273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89</v>
      </c>
    </row>
    <row r="8" customFormat="false" ht="15" hidden="false" customHeight="false" outlineLevel="0" collapsed="false">
      <c r="A8" s="0" t="s">
        <v>199</v>
      </c>
      <c r="B8" s="0" t="s">
        <v>200</v>
      </c>
      <c r="C8" s="0" t="s">
        <v>45</v>
      </c>
      <c r="D8" s="0" t="s">
        <v>36</v>
      </c>
      <c r="E8" s="0" t="n">
        <v>11</v>
      </c>
      <c r="F8" s="0" t="n">
        <v>2002</v>
      </c>
      <c r="G8" s="0" t="n">
        <v>4</v>
      </c>
      <c r="H8" s="0" t="n">
        <v>17</v>
      </c>
      <c r="J8" s="0" t="n">
        <v>2.04</v>
      </c>
      <c r="K8" s="0" t="n">
        <v>111</v>
      </c>
      <c r="L8" s="0" t="n">
        <v>81</v>
      </c>
      <c r="M8" s="0" t="n">
        <v>81</v>
      </c>
      <c r="N8" s="0" t="n">
        <v>74</v>
      </c>
      <c r="O8" s="0" t="n">
        <v>69</v>
      </c>
      <c r="P8" s="0" t="n">
        <v>85</v>
      </c>
      <c r="Q8" s="0" t="n">
        <v>75</v>
      </c>
      <c r="R8" s="0" t="n">
        <v>76</v>
      </c>
      <c r="S8" s="0" t="n">
        <v>72</v>
      </c>
      <c r="T8" s="0" t="n">
        <v>63</v>
      </c>
      <c r="U8" s="0" t="n">
        <v>78</v>
      </c>
      <c r="V8" s="0" t="n">
        <v>68</v>
      </c>
      <c r="W8" s="0" t="n">
        <v>82</v>
      </c>
      <c r="X8" s="0" t="n">
        <v>70</v>
      </c>
      <c r="Y8" s="0" t="n">
        <v>70</v>
      </c>
      <c r="Z8" s="0" t="n">
        <v>78</v>
      </c>
      <c r="AA8" s="0" t="n">
        <v>84</v>
      </c>
      <c r="AB8" s="0" t="n">
        <v>80</v>
      </c>
      <c r="AC8" s="0" t="n">
        <v>80</v>
      </c>
      <c r="AD8" s="0" t="n">
        <v>79</v>
      </c>
      <c r="AE8" s="0" t="n">
        <v>9044</v>
      </c>
      <c r="AF8" s="0" t="n">
        <v>2003178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80</v>
      </c>
    </row>
    <row r="9" customFormat="false" ht="15" hidden="false" customHeight="false" outlineLevel="0" collapsed="false">
      <c r="A9" s="0" t="s">
        <v>201</v>
      </c>
      <c r="B9" s="0" t="s">
        <v>202</v>
      </c>
      <c r="C9" s="0" t="s">
        <v>45</v>
      </c>
      <c r="D9" s="0" t="s">
        <v>36</v>
      </c>
      <c r="E9" s="0" t="n">
        <v>5</v>
      </c>
      <c r="F9" s="0" t="n">
        <v>2003</v>
      </c>
      <c r="G9" s="0" t="n">
        <v>8</v>
      </c>
      <c r="H9" s="0" t="n">
        <v>27</v>
      </c>
      <c r="J9" s="0" t="n">
        <v>1.97</v>
      </c>
      <c r="K9" s="0" t="n">
        <v>92</v>
      </c>
      <c r="L9" s="0" t="n">
        <v>81</v>
      </c>
      <c r="M9" s="0" t="n">
        <v>81</v>
      </c>
      <c r="N9" s="0" t="n">
        <v>67</v>
      </c>
      <c r="O9" s="0" t="n">
        <v>69</v>
      </c>
      <c r="P9" s="0" t="n">
        <v>85</v>
      </c>
      <c r="Q9" s="0" t="n">
        <v>75</v>
      </c>
      <c r="R9" s="0" t="n">
        <v>82</v>
      </c>
      <c r="S9" s="0" t="n">
        <v>73</v>
      </c>
      <c r="T9" s="0" t="n">
        <v>63</v>
      </c>
      <c r="U9" s="0" t="n">
        <v>73</v>
      </c>
      <c r="V9" s="0" t="n">
        <v>68</v>
      </c>
      <c r="W9" s="0" t="n">
        <v>78</v>
      </c>
      <c r="X9" s="0" t="n">
        <v>70</v>
      </c>
      <c r="Y9" s="0" t="n">
        <v>69</v>
      </c>
      <c r="Z9" s="0" t="n">
        <v>83</v>
      </c>
      <c r="AA9" s="0" t="n">
        <v>84</v>
      </c>
      <c r="AB9" s="0" t="n">
        <v>80</v>
      </c>
      <c r="AC9" s="0" t="n">
        <v>79</v>
      </c>
      <c r="AD9" s="0" t="n">
        <v>79</v>
      </c>
      <c r="AE9" s="0" t="n">
        <v>9129</v>
      </c>
      <c r="AF9" s="0" t="n">
        <v>2004274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80</v>
      </c>
    </row>
    <row r="10" customFormat="false" ht="15" hidden="false" customHeight="false" outlineLevel="0" collapsed="false">
      <c r="A10" s="0" t="s">
        <v>203</v>
      </c>
      <c r="B10" s="0" t="s">
        <v>204</v>
      </c>
      <c r="C10" s="0" t="s">
        <v>39</v>
      </c>
      <c r="D10" s="0" t="s">
        <v>36</v>
      </c>
      <c r="E10" s="0" t="n">
        <v>9</v>
      </c>
      <c r="F10" s="0" t="n">
        <v>2000</v>
      </c>
      <c r="G10" s="0" t="n">
        <v>3</v>
      </c>
      <c r="H10" s="0" t="n">
        <v>21</v>
      </c>
      <c r="J10" s="0" t="n">
        <v>2.04</v>
      </c>
      <c r="K10" s="0" t="n">
        <v>113</v>
      </c>
      <c r="L10" s="0" t="n">
        <v>83</v>
      </c>
      <c r="M10" s="0" t="n">
        <v>75</v>
      </c>
      <c r="N10" s="0" t="n">
        <v>78</v>
      </c>
      <c r="O10" s="0" t="n">
        <v>78</v>
      </c>
      <c r="P10" s="0" t="n">
        <v>80</v>
      </c>
      <c r="Q10" s="0" t="n">
        <v>80</v>
      </c>
      <c r="R10" s="0" t="n">
        <v>66</v>
      </c>
      <c r="S10" s="0" t="n">
        <v>68</v>
      </c>
      <c r="T10" s="0" t="n">
        <v>79</v>
      </c>
      <c r="U10" s="0" t="n">
        <v>87</v>
      </c>
      <c r="V10" s="0" t="n">
        <v>78</v>
      </c>
      <c r="W10" s="0" t="n">
        <v>68</v>
      </c>
      <c r="X10" s="0" t="n">
        <v>89</v>
      </c>
      <c r="Y10" s="0" t="n">
        <v>70</v>
      </c>
      <c r="Z10" s="0" t="n">
        <v>67</v>
      </c>
      <c r="AA10" s="0" t="n">
        <v>85</v>
      </c>
      <c r="AB10" s="0" t="n">
        <v>88</v>
      </c>
      <c r="AC10" s="0" t="n">
        <v>74</v>
      </c>
      <c r="AD10" s="0" t="n">
        <v>75</v>
      </c>
      <c r="AE10" s="0" t="n">
        <v>9042</v>
      </c>
      <c r="AF10" s="0" t="n">
        <v>2003169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80</v>
      </c>
    </row>
    <row r="11" customFormat="false" ht="15" hidden="false" customHeight="false" outlineLevel="0" collapsed="false">
      <c r="A11" s="0" t="s">
        <v>205</v>
      </c>
      <c r="B11" s="0" t="s">
        <v>206</v>
      </c>
      <c r="C11" s="0" t="s">
        <v>39</v>
      </c>
      <c r="D11" s="0" t="s">
        <v>36</v>
      </c>
      <c r="E11" s="0" t="n">
        <v>13</v>
      </c>
      <c r="F11" s="0" t="n">
        <v>2003</v>
      </c>
      <c r="G11" s="0" t="n">
        <v>1</v>
      </c>
      <c r="H11" s="0" t="n">
        <v>20</v>
      </c>
      <c r="J11" s="0" t="n">
        <v>2.05</v>
      </c>
      <c r="K11" s="0" t="n">
        <v>99</v>
      </c>
      <c r="L11" s="0" t="n">
        <v>81</v>
      </c>
      <c r="M11" s="0" t="n">
        <v>73</v>
      </c>
      <c r="N11" s="0" t="n">
        <v>69</v>
      </c>
      <c r="O11" s="0" t="n">
        <v>85</v>
      </c>
      <c r="P11" s="0" t="n">
        <v>78</v>
      </c>
      <c r="Q11" s="0" t="n">
        <v>78</v>
      </c>
      <c r="R11" s="0" t="n">
        <v>64</v>
      </c>
      <c r="S11" s="0" t="n">
        <v>66</v>
      </c>
      <c r="T11" s="0" t="n">
        <v>77</v>
      </c>
      <c r="U11" s="0" t="n">
        <v>82</v>
      </c>
      <c r="V11" s="0" t="n">
        <v>76</v>
      </c>
      <c r="W11" s="0" t="n">
        <v>66</v>
      </c>
      <c r="X11" s="0" t="n">
        <v>87</v>
      </c>
      <c r="Y11" s="0" t="n">
        <v>82</v>
      </c>
      <c r="Z11" s="0" t="n">
        <v>68</v>
      </c>
      <c r="AA11" s="0" t="n">
        <v>83</v>
      </c>
      <c r="AB11" s="0" t="n">
        <v>86</v>
      </c>
      <c r="AC11" s="0" t="n">
        <v>71</v>
      </c>
      <c r="AD11" s="0" t="n">
        <v>73</v>
      </c>
      <c r="AE11" s="0" t="n">
        <v>9056</v>
      </c>
      <c r="AF11" s="0" t="n">
        <v>2003862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79</v>
      </c>
    </row>
    <row r="12" customFormat="false" ht="15" hidden="false" customHeight="false" outlineLevel="0" collapsed="false">
      <c r="A12" s="0" t="s">
        <v>207</v>
      </c>
      <c r="B12" s="0" t="s">
        <v>208</v>
      </c>
      <c r="C12" s="0" t="s">
        <v>35</v>
      </c>
      <c r="D12" s="0" t="s">
        <v>36</v>
      </c>
      <c r="E12" s="0" t="n">
        <v>10</v>
      </c>
      <c r="F12" s="0" t="n">
        <v>1995</v>
      </c>
      <c r="G12" s="0" t="n">
        <v>6</v>
      </c>
      <c r="H12" s="0" t="n">
        <v>28</v>
      </c>
      <c r="J12" s="0" t="n">
        <v>1.86</v>
      </c>
      <c r="K12" s="0" t="n">
        <v>79</v>
      </c>
      <c r="L12" s="0" t="n">
        <v>75</v>
      </c>
      <c r="M12" s="0" t="n">
        <v>80</v>
      </c>
      <c r="N12" s="0" t="n">
        <v>82</v>
      </c>
      <c r="O12" s="0" t="n">
        <v>90</v>
      </c>
      <c r="P12" s="0" t="n">
        <v>86</v>
      </c>
      <c r="Q12" s="0" t="n">
        <v>60</v>
      </c>
      <c r="R12" s="0" t="n">
        <v>95</v>
      </c>
      <c r="S12" s="0" t="n">
        <v>90</v>
      </c>
      <c r="T12" s="0" t="n">
        <v>55</v>
      </c>
      <c r="U12" s="0" t="n">
        <v>51</v>
      </c>
      <c r="V12" s="0" t="n">
        <v>51</v>
      </c>
      <c r="W12" s="0" t="n">
        <v>90</v>
      </c>
      <c r="X12" s="0" t="n">
        <v>55</v>
      </c>
      <c r="Y12" s="0" t="n">
        <v>55</v>
      </c>
      <c r="Z12" s="0" t="n">
        <v>88</v>
      </c>
      <c r="AA12" s="0" t="n">
        <v>79</v>
      </c>
      <c r="AB12" s="0" t="n">
        <v>77</v>
      </c>
      <c r="AC12" s="0" t="n">
        <v>78</v>
      </c>
      <c r="AD12" s="0" t="n">
        <v>81</v>
      </c>
      <c r="AE12" s="0" t="n">
        <v>5115</v>
      </c>
      <c r="AF12" s="0" t="n">
        <v>2001472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85</v>
      </c>
    </row>
    <row r="13" customFormat="false" ht="15" hidden="false" customHeight="false" outlineLevel="0" collapsed="false">
      <c r="A13" s="0" t="s">
        <v>179</v>
      </c>
      <c r="B13" s="0" t="s">
        <v>209</v>
      </c>
      <c r="C13" s="0" t="s">
        <v>52</v>
      </c>
      <c r="D13" s="0" t="s">
        <v>36</v>
      </c>
      <c r="E13" s="0" t="n">
        <v>21</v>
      </c>
      <c r="F13" s="0" t="n">
        <v>1996</v>
      </c>
      <c r="G13" s="0" t="n">
        <v>10</v>
      </c>
      <c r="H13" s="0" t="n">
        <v>21</v>
      </c>
      <c r="J13" s="0" t="n">
        <v>2.09</v>
      </c>
      <c r="K13" s="0" t="n">
        <v>116</v>
      </c>
      <c r="L13" s="0" t="n">
        <v>94</v>
      </c>
      <c r="M13" s="0" t="n">
        <v>67</v>
      </c>
      <c r="N13" s="0" t="n">
        <v>70</v>
      </c>
      <c r="O13" s="0" t="n">
        <v>69</v>
      </c>
      <c r="P13" s="0" t="n">
        <v>85</v>
      </c>
      <c r="Q13" s="0" t="n">
        <v>82</v>
      </c>
      <c r="R13" s="0" t="n">
        <v>55</v>
      </c>
      <c r="S13" s="0" t="n">
        <v>60</v>
      </c>
      <c r="T13" s="0" t="n">
        <v>82</v>
      </c>
      <c r="U13" s="0" t="n">
        <v>94</v>
      </c>
      <c r="V13" s="0" t="n">
        <v>87</v>
      </c>
      <c r="W13" s="0" t="n">
        <v>60</v>
      </c>
      <c r="X13" s="0" t="n">
        <v>88</v>
      </c>
      <c r="Y13" s="0" t="n">
        <v>80</v>
      </c>
      <c r="Z13" s="0" t="n">
        <v>50</v>
      </c>
      <c r="AA13" s="0" t="n">
        <v>81</v>
      </c>
      <c r="AB13" s="0" t="n">
        <v>86</v>
      </c>
      <c r="AC13" s="0" t="n">
        <v>71</v>
      </c>
      <c r="AD13" s="0" t="n">
        <v>76</v>
      </c>
      <c r="AE13" s="0" t="n">
        <v>9431</v>
      </c>
      <c r="AF13" s="0" t="n">
        <v>2003107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84</v>
      </c>
    </row>
    <row r="14" customFormat="false" ht="15" hidden="false" customHeight="false" outlineLevel="0" collapsed="false">
      <c r="A14" s="0" t="s">
        <v>210</v>
      </c>
      <c r="B14" s="0" t="s">
        <v>211</v>
      </c>
      <c r="C14" s="0" t="s">
        <v>42</v>
      </c>
      <c r="D14" s="0" t="s">
        <v>36</v>
      </c>
      <c r="E14" s="0" t="n">
        <v>4</v>
      </c>
      <c r="F14" s="0" t="n">
        <v>2007</v>
      </c>
      <c r="G14" s="0" t="n">
        <v>12</v>
      </c>
      <c r="H14" s="0" t="n">
        <v>21</v>
      </c>
      <c r="J14" s="0" t="n">
        <v>1.94</v>
      </c>
      <c r="K14" s="0" t="n">
        <v>80</v>
      </c>
      <c r="L14" s="0" t="n">
        <v>75</v>
      </c>
      <c r="M14" s="0" t="n">
        <v>78</v>
      </c>
      <c r="N14" s="0" t="n">
        <v>80</v>
      </c>
      <c r="O14" s="0" t="n">
        <v>69</v>
      </c>
      <c r="P14" s="0" t="n">
        <v>79</v>
      </c>
      <c r="Q14" s="0" t="n">
        <v>65</v>
      </c>
      <c r="R14" s="0" t="n">
        <v>79</v>
      </c>
      <c r="S14" s="0" t="n">
        <v>68</v>
      </c>
      <c r="T14" s="0" t="n">
        <v>55</v>
      </c>
      <c r="U14" s="0" t="n">
        <v>58</v>
      </c>
      <c r="V14" s="0" t="n">
        <v>58</v>
      </c>
      <c r="W14" s="0" t="n">
        <v>75</v>
      </c>
      <c r="X14" s="0" t="n">
        <v>53</v>
      </c>
      <c r="Y14" s="0" t="n">
        <v>58</v>
      </c>
      <c r="Z14" s="0" t="n">
        <v>89</v>
      </c>
      <c r="AA14" s="0" t="n">
        <v>80</v>
      </c>
      <c r="AB14" s="0" t="n">
        <v>74</v>
      </c>
      <c r="AC14" s="0" t="n">
        <v>68</v>
      </c>
      <c r="AD14" s="0" t="n">
        <v>68</v>
      </c>
      <c r="AE14" s="0" t="n">
        <v>9130</v>
      </c>
      <c r="AF14" s="0" t="n">
        <v>2004275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76</v>
      </c>
    </row>
    <row r="15" customFormat="false" ht="15" hidden="false" customHeight="false" outlineLevel="0" collapsed="false">
      <c r="A15" s="0" t="s">
        <v>212</v>
      </c>
      <c r="B15" s="0" t="s">
        <v>213</v>
      </c>
      <c r="C15" s="0" t="s">
        <v>52</v>
      </c>
      <c r="D15" s="0" t="s">
        <v>36</v>
      </c>
      <c r="E15" s="0" t="n">
        <v>19</v>
      </c>
      <c r="F15" s="0" t="n">
        <v>2007</v>
      </c>
      <c r="G15" s="0" t="n">
        <v>6</v>
      </c>
      <c r="H15" s="0" t="n">
        <v>16</v>
      </c>
      <c r="J15" s="0" t="n">
        <v>2.03</v>
      </c>
      <c r="K15" s="0" t="n">
        <v>87</v>
      </c>
      <c r="L15" s="0" t="n">
        <v>79</v>
      </c>
      <c r="M15" s="0" t="n">
        <v>62</v>
      </c>
      <c r="N15" s="0" t="n">
        <v>50</v>
      </c>
      <c r="O15" s="0" t="n">
        <v>62</v>
      </c>
      <c r="P15" s="0" t="n">
        <v>70</v>
      </c>
      <c r="Q15" s="0" t="n">
        <v>79</v>
      </c>
      <c r="R15" s="0" t="n">
        <v>50</v>
      </c>
      <c r="S15" s="0" t="n">
        <v>51</v>
      </c>
      <c r="T15" s="0" t="n">
        <v>74</v>
      </c>
      <c r="U15" s="0" t="n">
        <v>79</v>
      </c>
      <c r="V15" s="0" t="n">
        <v>79</v>
      </c>
      <c r="W15" s="0" t="n">
        <v>55</v>
      </c>
      <c r="X15" s="0" t="n">
        <v>80</v>
      </c>
      <c r="Y15" s="0" t="n">
        <v>80</v>
      </c>
      <c r="Z15" s="0" t="n">
        <v>56</v>
      </c>
      <c r="AA15" s="0" t="n">
        <v>79</v>
      </c>
      <c r="AB15" s="0" t="n">
        <v>78</v>
      </c>
      <c r="AC15" s="0" t="n">
        <v>58</v>
      </c>
      <c r="AD15" s="0" t="n">
        <v>60</v>
      </c>
      <c r="AE15" s="0" t="n">
        <v>9131</v>
      </c>
      <c r="AF15" s="0" t="n">
        <v>2004363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O21" activeCellId="0" sqref="AO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214</v>
      </c>
      <c r="B2" s="0" t="s">
        <v>86</v>
      </c>
      <c r="C2" s="0" t="s">
        <v>42</v>
      </c>
      <c r="D2" s="0" t="s">
        <v>36</v>
      </c>
      <c r="E2" s="0" t="n">
        <v>4</v>
      </c>
      <c r="F2" s="0" t="n">
        <v>2003</v>
      </c>
      <c r="G2" s="0" t="n">
        <v>6</v>
      </c>
      <c r="H2" s="0" t="n">
        <v>15</v>
      </c>
      <c r="J2" s="0" t="n">
        <v>1.96</v>
      </c>
      <c r="K2" s="0" t="n">
        <v>95</v>
      </c>
      <c r="L2" s="0" t="n">
        <v>90</v>
      </c>
      <c r="M2" s="0" t="n">
        <v>93</v>
      </c>
      <c r="N2" s="0" t="n">
        <v>67</v>
      </c>
      <c r="O2" s="0" t="n">
        <v>94</v>
      </c>
      <c r="P2" s="0" t="n">
        <v>94</v>
      </c>
      <c r="Q2" s="0" t="n">
        <v>75</v>
      </c>
      <c r="R2" s="0" t="n">
        <v>87</v>
      </c>
      <c r="S2" s="0" t="n">
        <v>79</v>
      </c>
      <c r="T2" s="0" t="n">
        <v>68</v>
      </c>
      <c r="U2" s="0" t="n">
        <v>69</v>
      </c>
      <c r="V2" s="0" t="n">
        <v>67</v>
      </c>
      <c r="W2" s="0" t="n">
        <v>84</v>
      </c>
      <c r="X2" s="0" t="n">
        <v>65</v>
      </c>
      <c r="Y2" s="0" t="n">
        <v>69</v>
      </c>
      <c r="Z2" s="0" t="n">
        <v>92</v>
      </c>
      <c r="AA2" s="0" t="n">
        <v>89</v>
      </c>
      <c r="AB2" s="0" t="n">
        <v>86</v>
      </c>
      <c r="AC2" s="0" t="n">
        <v>82</v>
      </c>
      <c r="AD2" s="0" t="n">
        <v>86</v>
      </c>
      <c r="AE2" s="0" t="n">
        <v>9009</v>
      </c>
      <c r="AF2" s="0" t="n">
        <v>1400011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89</v>
      </c>
    </row>
    <row r="3" customFormat="false" ht="15" hidden="false" customHeight="false" outlineLevel="0" collapsed="false">
      <c r="A3" s="0" t="s">
        <v>215</v>
      </c>
      <c r="B3" s="0" t="s">
        <v>216</v>
      </c>
      <c r="C3" s="0" t="s">
        <v>42</v>
      </c>
      <c r="D3" s="0" t="s">
        <v>36</v>
      </c>
      <c r="E3" s="0" t="n">
        <v>11</v>
      </c>
      <c r="F3" s="0" t="n">
        <v>2001</v>
      </c>
      <c r="G3" s="0" t="n">
        <v>3</v>
      </c>
      <c r="H3" s="0" t="n">
        <v>13</v>
      </c>
      <c r="J3" s="0" t="n">
        <v>1.95</v>
      </c>
      <c r="K3" s="0" t="n">
        <v>90</v>
      </c>
      <c r="L3" s="0" t="n">
        <v>81</v>
      </c>
      <c r="M3" s="0" t="n">
        <v>84</v>
      </c>
      <c r="N3" s="0" t="n">
        <v>86</v>
      </c>
      <c r="O3" s="0" t="n">
        <v>60</v>
      </c>
      <c r="P3" s="0" t="n">
        <v>85</v>
      </c>
      <c r="Q3" s="0" t="n">
        <v>69</v>
      </c>
      <c r="R3" s="0" t="n">
        <v>85</v>
      </c>
      <c r="S3" s="0" t="n">
        <v>76</v>
      </c>
      <c r="T3" s="0" t="n">
        <v>61</v>
      </c>
      <c r="U3" s="0" t="n">
        <v>64</v>
      </c>
      <c r="V3" s="0" t="n">
        <v>64</v>
      </c>
      <c r="W3" s="0" t="n">
        <v>81</v>
      </c>
      <c r="X3" s="0" t="n">
        <v>65</v>
      </c>
      <c r="Y3" s="0" t="n">
        <v>66</v>
      </c>
      <c r="Z3" s="0" t="n">
        <v>89</v>
      </c>
      <c r="AA3" s="0" t="n">
        <v>86</v>
      </c>
      <c r="AB3" s="0" t="n">
        <v>86</v>
      </c>
      <c r="AC3" s="0" t="n">
        <v>79</v>
      </c>
      <c r="AD3" s="0" t="n">
        <v>80</v>
      </c>
      <c r="AE3" s="0" t="n">
        <v>5188</v>
      </c>
      <c r="AF3" s="0" t="n">
        <v>2001727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83</v>
      </c>
    </row>
    <row r="4" customFormat="false" ht="15" hidden="false" customHeight="false" outlineLevel="0" collapsed="false">
      <c r="A4" s="0" t="s">
        <v>217</v>
      </c>
      <c r="B4" s="0" t="s">
        <v>218</v>
      </c>
      <c r="C4" s="0" t="s">
        <v>52</v>
      </c>
      <c r="D4" s="0" t="s">
        <v>36</v>
      </c>
      <c r="E4" s="0" t="n">
        <v>28</v>
      </c>
      <c r="F4" s="0" t="n">
        <v>1993</v>
      </c>
      <c r="G4" s="0" t="n">
        <v>1</v>
      </c>
      <c r="H4" s="0" t="n">
        <v>26</v>
      </c>
      <c r="J4" s="0" t="n">
        <v>2.05</v>
      </c>
      <c r="K4" s="0" t="n">
        <v>109</v>
      </c>
      <c r="L4" s="0" t="n">
        <v>88</v>
      </c>
      <c r="M4" s="0" t="n">
        <v>71</v>
      </c>
      <c r="N4" s="0" t="n">
        <v>60</v>
      </c>
      <c r="O4" s="0" t="n">
        <v>69</v>
      </c>
      <c r="P4" s="0" t="n">
        <v>79</v>
      </c>
      <c r="Q4" s="0" t="n">
        <v>86</v>
      </c>
      <c r="R4" s="0" t="n">
        <v>59</v>
      </c>
      <c r="S4" s="0" t="n">
        <v>64</v>
      </c>
      <c r="T4" s="0" t="n">
        <v>83</v>
      </c>
      <c r="U4" s="0" t="n">
        <v>93</v>
      </c>
      <c r="V4" s="0" t="n">
        <v>88</v>
      </c>
      <c r="W4" s="0" t="n">
        <v>64</v>
      </c>
      <c r="X4" s="0" t="n">
        <v>92</v>
      </c>
      <c r="Y4" s="0" t="n">
        <v>94</v>
      </c>
      <c r="Z4" s="0" t="n">
        <v>55</v>
      </c>
      <c r="AA4" s="0" t="n">
        <v>85</v>
      </c>
      <c r="AB4" s="0" t="n">
        <v>90</v>
      </c>
      <c r="AC4" s="0" t="n">
        <v>76</v>
      </c>
      <c r="AD4" s="0" t="n">
        <v>80</v>
      </c>
      <c r="AE4" s="0" t="n">
        <v>9076</v>
      </c>
      <c r="AF4" s="0" t="n">
        <v>2004013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88</v>
      </c>
    </row>
    <row r="5" customFormat="false" ht="15" hidden="false" customHeight="false" outlineLevel="0" collapsed="false">
      <c r="A5" s="0" t="s">
        <v>107</v>
      </c>
      <c r="B5" s="0" t="s">
        <v>219</v>
      </c>
      <c r="C5" s="0" t="s">
        <v>35</v>
      </c>
      <c r="D5" s="0" t="s">
        <v>36</v>
      </c>
      <c r="E5" s="0" t="n">
        <v>2</v>
      </c>
      <c r="F5" s="0" t="n">
        <v>2002</v>
      </c>
      <c r="G5" s="0" t="n">
        <v>3</v>
      </c>
      <c r="H5" s="0" t="n">
        <v>18</v>
      </c>
      <c r="J5" s="0" t="n">
        <v>1.88</v>
      </c>
      <c r="K5" s="0" t="n">
        <v>86</v>
      </c>
      <c r="L5" s="0" t="n">
        <v>87</v>
      </c>
      <c r="M5" s="0" t="n">
        <v>86</v>
      </c>
      <c r="N5" s="0" t="n">
        <v>81</v>
      </c>
      <c r="O5" s="0" t="n">
        <v>60</v>
      </c>
      <c r="P5" s="0" t="n">
        <v>98</v>
      </c>
      <c r="Q5" s="0" t="n">
        <v>65</v>
      </c>
      <c r="R5" s="0" t="n">
        <v>99</v>
      </c>
      <c r="S5" s="0" t="n">
        <v>97</v>
      </c>
      <c r="T5" s="0" t="n">
        <v>62</v>
      </c>
      <c r="U5" s="0" t="n">
        <v>55</v>
      </c>
      <c r="V5" s="0" t="n">
        <v>55</v>
      </c>
      <c r="W5" s="0" t="n">
        <v>91</v>
      </c>
      <c r="X5" s="0" t="n">
        <v>62</v>
      </c>
      <c r="Y5" s="0" t="n">
        <v>61</v>
      </c>
      <c r="Z5" s="0" t="n">
        <v>93</v>
      </c>
      <c r="AA5" s="0" t="n">
        <v>86</v>
      </c>
      <c r="AB5" s="0" t="n">
        <v>84</v>
      </c>
      <c r="AC5" s="0" t="n">
        <v>79</v>
      </c>
      <c r="AD5" s="0" t="n">
        <v>81</v>
      </c>
      <c r="AE5" s="0" t="n">
        <v>9169</v>
      </c>
      <c r="AF5" s="0" t="n">
        <v>2004723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91</v>
      </c>
    </row>
    <row r="6" customFormat="false" ht="15" hidden="false" customHeight="false" outlineLevel="0" collapsed="false">
      <c r="A6" s="0" t="s">
        <v>220</v>
      </c>
      <c r="B6" s="0" t="s">
        <v>221</v>
      </c>
      <c r="C6" s="0" t="s">
        <v>39</v>
      </c>
      <c r="D6" s="0" t="s">
        <v>36</v>
      </c>
      <c r="E6" s="0" t="n">
        <v>1</v>
      </c>
      <c r="F6" s="0" t="n">
        <v>2001</v>
      </c>
      <c r="G6" s="0" t="n">
        <v>8</v>
      </c>
      <c r="H6" s="0" t="n">
        <v>7</v>
      </c>
      <c r="J6" s="0" t="n">
        <v>2.02</v>
      </c>
      <c r="K6" s="0" t="n">
        <v>102</v>
      </c>
      <c r="L6" s="0" t="n">
        <v>85</v>
      </c>
      <c r="M6" s="0" t="n">
        <v>77</v>
      </c>
      <c r="N6" s="0" t="n">
        <v>60</v>
      </c>
      <c r="O6" s="0" t="n">
        <v>69</v>
      </c>
      <c r="P6" s="0" t="n">
        <v>82</v>
      </c>
      <c r="Q6" s="0" t="n">
        <v>81</v>
      </c>
      <c r="R6" s="0" t="n">
        <v>66</v>
      </c>
      <c r="S6" s="0" t="n">
        <v>68</v>
      </c>
      <c r="T6" s="0" t="n">
        <v>80</v>
      </c>
      <c r="U6" s="0" t="n">
        <v>84</v>
      </c>
      <c r="V6" s="0" t="n">
        <v>78</v>
      </c>
      <c r="W6" s="0" t="n">
        <v>68</v>
      </c>
      <c r="X6" s="0" t="n">
        <v>89</v>
      </c>
      <c r="Y6" s="0" t="n">
        <v>69</v>
      </c>
      <c r="Z6" s="0" t="n">
        <v>70</v>
      </c>
      <c r="AA6" s="0" t="n">
        <v>85</v>
      </c>
      <c r="AB6" s="0" t="n">
        <v>88</v>
      </c>
      <c r="AC6" s="0" t="n">
        <v>74</v>
      </c>
      <c r="AD6" s="0" t="n">
        <v>76</v>
      </c>
      <c r="AE6" s="0" t="n">
        <v>9073</v>
      </c>
      <c r="AF6" s="0" t="n">
        <v>2004009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80</v>
      </c>
    </row>
    <row r="7" customFormat="false" ht="15" hidden="false" customHeight="false" outlineLevel="0" collapsed="false">
      <c r="A7" s="0" t="s">
        <v>222</v>
      </c>
      <c r="B7" s="0" t="s">
        <v>223</v>
      </c>
      <c r="C7" s="0" t="s">
        <v>35</v>
      </c>
      <c r="D7" s="0" t="s">
        <v>36</v>
      </c>
      <c r="E7" s="0" t="n">
        <v>0</v>
      </c>
      <c r="F7" s="0" t="n">
        <v>2003</v>
      </c>
      <c r="G7" s="0" t="n">
        <v>1</v>
      </c>
      <c r="H7" s="0" t="n">
        <v>28</v>
      </c>
      <c r="J7" s="0" t="n">
        <v>1.88</v>
      </c>
      <c r="K7" s="0" t="n">
        <v>84</v>
      </c>
      <c r="L7" s="0" t="n">
        <v>80</v>
      </c>
      <c r="M7" s="0" t="n">
        <v>85</v>
      </c>
      <c r="N7" s="0" t="n">
        <v>67</v>
      </c>
      <c r="O7" s="0" t="n">
        <v>93</v>
      </c>
      <c r="P7" s="0" t="n">
        <v>91</v>
      </c>
      <c r="Q7" s="0" t="n">
        <v>64</v>
      </c>
      <c r="R7" s="0" t="n">
        <v>93</v>
      </c>
      <c r="S7" s="0" t="n">
        <v>90</v>
      </c>
      <c r="T7" s="0" t="n">
        <v>59</v>
      </c>
      <c r="U7" s="0" t="n">
        <v>54</v>
      </c>
      <c r="V7" s="0" t="n">
        <v>54</v>
      </c>
      <c r="W7" s="0" t="n">
        <v>97</v>
      </c>
      <c r="X7" s="0" t="n">
        <v>58</v>
      </c>
      <c r="Y7" s="0" t="n">
        <v>60</v>
      </c>
      <c r="Z7" s="0" t="n">
        <v>94</v>
      </c>
      <c r="AA7" s="0" t="n">
        <v>85</v>
      </c>
      <c r="AB7" s="0" t="n">
        <v>80</v>
      </c>
      <c r="AC7" s="0" t="n">
        <v>80</v>
      </c>
      <c r="AD7" s="0" t="n">
        <v>79</v>
      </c>
      <c r="AE7" s="0" t="n">
        <v>9085</v>
      </c>
      <c r="AF7" s="0" t="n">
        <v>2004073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88</v>
      </c>
    </row>
    <row r="8" customFormat="false" ht="15" hidden="false" customHeight="false" outlineLevel="0" collapsed="false">
      <c r="A8" s="0" t="s">
        <v>224</v>
      </c>
      <c r="B8" s="0" t="s">
        <v>225</v>
      </c>
      <c r="C8" s="0" t="s">
        <v>45</v>
      </c>
      <c r="D8" s="0" t="s">
        <v>36</v>
      </c>
      <c r="E8" s="0" t="n">
        <v>5</v>
      </c>
      <c r="F8" s="0" t="n">
        <v>1998</v>
      </c>
      <c r="G8" s="0" t="n">
        <v>9</v>
      </c>
      <c r="H8" s="0" t="n">
        <v>15</v>
      </c>
      <c r="J8" s="0" t="n">
        <v>2.01</v>
      </c>
      <c r="K8" s="0" t="n">
        <v>94</v>
      </c>
      <c r="L8" s="0" t="n">
        <v>81</v>
      </c>
      <c r="M8" s="0" t="n">
        <v>81</v>
      </c>
      <c r="N8" s="0" t="n">
        <v>67</v>
      </c>
      <c r="O8" s="0" t="n">
        <v>86</v>
      </c>
      <c r="P8" s="0" t="n">
        <v>85</v>
      </c>
      <c r="Q8" s="0" t="n">
        <v>75</v>
      </c>
      <c r="R8" s="0" t="n">
        <v>76</v>
      </c>
      <c r="S8" s="0" t="n">
        <v>72</v>
      </c>
      <c r="T8" s="0" t="n">
        <v>63</v>
      </c>
      <c r="U8" s="0" t="n">
        <v>73</v>
      </c>
      <c r="V8" s="0" t="n">
        <v>68</v>
      </c>
      <c r="W8" s="0" t="n">
        <v>78</v>
      </c>
      <c r="X8" s="0" t="n">
        <v>73</v>
      </c>
      <c r="Y8" s="0" t="n">
        <v>69</v>
      </c>
      <c r="Z8" s="0" t="n">
        <v>81</v>
      </c>
      <c r="AA8" s="0" t="n">
        <v>84</v>
      </c>
      <c r="AB8" s="0" t="n">
        <v>83</v>
      </c>
      <c r="AC8" s="0" t="n">
        <v>79</v>
      </c>
      <c r="AD8" s="0" t="n">
        <v>79</v>
      </c>
      <c r="AE8" s="0" t="n">
        <v>9189</v>
      </c>
      <c r="AF8" s="0" t="n">
        <v>2005083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80</v>
      </c>
    </row>
    <row r="9" customFormat="false" ht="15" hidden="false" customHeight="false" outlineLevel="0" collapsed="false">
      <c r="A9" s="0" t="s">
        <v>226</v>
      </c>
      <c r="B9" s="0" t="s">
        <v>227</v>
      </c>
      <c r="C9" s="0" t="s">
        <v>35</v>
      </c>
      <c r="D9" s="0" t="s">
        <v>36</v>
      </c>
      <c r="E9" s="0" t="n">
        <v>6</v>
      </c>
      <c r="F9" s="0" t="n">
        <v>2001</v>
      </c>
      <c r="G9" s="0" t="n">
        <v>12</v>
      </c>
      <c r="H9" s="0" t="n">
        <v>30</v>
      </c>
      <c r="J9" s="0" t="n">
        <v>1.85</v>
      </c>
      <c r="K9" s="0" t="n">
        <v>80</v>
      </c>
      <c r="L9" s="0" t="n">
        <v>77</v>
      </c>
      <c r="M9" s="0" t="n">
        <v>82</v>
      </c>
      <c r="N9" s="0" t="n">
        <v>77</v>
      </c>
      <c r="O9" s="0" t="n">
        <v>92</v>
      </c>
      <c r="P9" s="0" t="n">
        <v>88</v>
      </c>
      <c r="Q9" s="0" t="n">
        <v>62</v>
      </c>
      <c r="R9" s="0" t="n">
        <v>93</v>
      </c>
      <c r="S9" s="0" t="n">
        <v>89</v>
      </c>
      <c r="T9" s="0" t="n">
        <v>57</v>
      </c>
      <c r="U9" s="0" t="n">
        <v>53</v>
      </c>
      <c r="V9" s="0" t="n">
        <v>53</v>
      </c>
      <c r="W9" s="0" t="n">
        <v>96</v>
      </c>
      <c r="X9" s="0" t="n">
        <v>57</v>
      </c>
      <c r="Y9" s="0" t="n">
        <v>57</v>
      </c>
      <c r="Z9" s="0" t="n">
        <v>93</v>
      </c>
      <c r="AA9" s="0" t="n">
        <v>84</v>
      </c>
      <c r="AB9" s="0" t="n">
        <v>79</v>
      </c>
      <c r="AC9" s="0" t="n">
        <v>78</v>
      </c>
      <c r="AD9" s="0" t="n">
        <v>78</v>
      </c>
      <c r="AE9" s="0" t="n">
        <v>9008</v>
      </c>
      <c r="AF9" s="0" t="n">
        <v>1400009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86</v>
      </c>
    </row>
    <row r="10" customFormat="false" ht="15" hidden="false" customHeight="false" outlineLevel="0" collapsed="false">
      <c r="A10" s="0" t="s">
        <v>228</v>
      </c>
      <c r="B10" s="0" t="s">
        <v>229</v>
      </c>
      <c r="C10" s="0" t="s">
        <v>52</v>
      </c>
      <c r="D10" s="0" t="s">
        <v>36</v>
      </c>
      <c r="E10" s="0" t="n">
        <v>21</v>
      </c>
      <c r="F10" s="0" t="n">
        <v>1999</v>
      </c>
      <c r="G10" s="0" t="n">
        <v>5</v>
      </c>
      <c r="H10" s="0" t="n">
        <v>29</v>
      </c>
      <c r="J10" s="0" t="n">
        <v>2.12</v>
      </c>
      <c r="K10" s="0" t="n">
        <v>110</v>
      </c>
      <c r="L10" s="0" t="n">
        <v>86</v>
      </c>
      <c r="M10" s="0" t="n">
        <v>69</v>
      </c>
      <c r="N10" s="0" t="n">
        <v>60</v>
      </c>
      <c r="O10" s="0" t="n">
        <v>75</v>
      </c>
      <c r="P10" s="0" t="n">
        <v>77</v>
      </c>
      <c r="Q10" s="0" t="n">
        <v>86</v>
      </c>
      <c r="R10" s="0" t="n">
        <v>57</v>
      </c>
      <c r="S10" s="0" t="n">
        <v>60</v>
      </c>
      <c r="T10" s="0" t="n">
        <v>81</v>
      </c>
      <c r="U10" s="0" t="n">
        <v>95</v>
      </c>
      <c r="V10" s="0" t="n">
        <v>91</v>
      </c>
      <c r="W10" s="0" t="n">
        <v>62</v>
      </c>
      <c r="X10" s="0" t="n">
        <v>95</v>
      </c>
      <c r="Y10" s="0" t="n">
        <v>75</v>
      </c>
      <c r="Z10" s="0" t="n">
        <v>52</v>
      </c>
      <c r="AA10" s="0" t="n">
        <v>86</v>
      </c>
      <c r="AB10" s="0" t="n">
        <v>88</v>
      </c>
      <c r="AC10" s="0" t="n">
        <v>70</v>
      </c>
      <c r="AD10" s="0" t="n">
        <v>73</v>
      </c>
      <c r="AE10" s="0" t="n">
        <v>5557</v>
      </c>
      <c r="AF10" s="0" t="n">
        <v>2002089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84</v>
      </c>
    </row>
    <row r="11" customFormat="false" ht="15" hidden="false" customHeight="false" outlineLevel="0" collapsed="false">
      <c r="A11" s="0" t="s">
        <v>230</v>
      </c>
      <c r="B11" s="0" t="s">
        <v>231</v>
      </c>
      <c r="C11" s="0" t="s">
        <v>42</v>
      </c>
      <c r="D11" s="0" t="s">
        <v>36</v>
      </c>
      <c r="E11" s="0" t="n">
        <v>3</v>
      </c>
      <c r="F11" s="0" t="n">
        <v>2005</v>
      </c>
      <c r="G11" s="0" t="n">
        <v>2</v>
      </c>
      <c r="H11" s="0" t="n">
        <v>18</v>
      </c>
      <c r="J11" s="0" t="n">
        <v>1.99</v>
      </c>
      <c r="K11" s="0" t="n">
        <v>93</v>
      </c>
      <c r="L11" s="0" t="n">
        <v>78</v>
      </c>
      <c r="M11" s="0" t="n">
        <v>81</v>
      </c>
      <c r="N11" s="0" t="n">
        <v>90</v>
      </c>
      <c r="O11" s="0" t="n">
        <v>60</v>
      </c>
      <c r="P11" s="0" t="n">
        <v>82</v>
      </c>
      <c r="Q11" s="0" t="n">
        <v>68</v>
      </c>
      <c r="R11" s="0" t="n">
        <v>82</v>
      </c>
      <c r="S11" s="0" t="n">
        <v>71</v>
      </c>
      <c r="T11" s="0" t="n">
        <v>58</v>
      </c>
      <c r="U11" s="0" t="n">
        <v>61</v>
      </c>
      <c r="V11" s="0" t="n">
        <v>61</v>
      </c>
      <c r="W11" s="0" t="n">
        <v>78</v>
      </c>
      <c r="X11" s="0" t="n">
        <v>56</v>
      </c>
      <c r="Y11" s="0" t="n">
        <v>61</v>
      </c>
      <c r="Z11" s="0" t="n">
        <v>90</v>
      </c>
      <c r="AA11" s="0" t="n">
        <v>83</v>
      </c>
      <c r="AB11" s="0" t="n">
        <v>77</v>
      </c>
      <c r="AC11" s="0" t="n">
        <v>71</v>
      </c>
      <c r="AD11" s="0" t="n">
        <v>71</v>
      </c>
      <c r="AE11" s="0" t="n">
        <v>9075</v>
      </c>
      <c r="AF11" s="0" t="n">
        <v>2004012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79</v>
      </c>
    </row>
    <row r="12" customFormat="false" ht="15" hidden="false" customHeight="false" outlineLevel="0" collapsed="false">
      <c r="A12" s="0" t="s">
        <v>115</v>
      </c>
      <c r="B12" s="0" t="s">
        <v>232</v>
      </c>
      <c r="C12" s="0" t="s">
        <v>52</v>
      </c>
      <c r="D12" s="0" t="s">
        <v>36</v>
      </c>
      <c r="E12" s="0" t="n">
        <v>10</v>
      </c>
      <c r="F12" s="0" t="n">
        <v>2000</v>
      </c>
      <c r="G12" s="0" t="n">
        <v>10</v>
      </c>
      <c r="H12" s="0" t="n">
        <v>18</v>
      </c>
      <c r="J12" s="0" t="n">
        <v>2.03</v>
      </c>
      <c r="K12" s="0" t="n">
        <v>103</v>
      </c>
      <c r="L12" s="0" t="n">
        <v>95</v>
      </c>
      <c r="M12" s="0" t="n">
        <v>68</v>
      </c>
      <c r="N12" s="0" t="n">
        <v>51</v>
      </c>
      <c r="O12" s="0" t="n">
        <v>60</v>
      </c>
      <c r="P12" s="0" t="n">
        <v>86</v>
      </c>
      <c r="Q12" s="0" t="n">
        <v>83</v>
      </c>
      <c r="R12" s="0" t="n">
        <v>56</v>
      </c>
      <c r="S12" s="0" t="n">
        <v>59</v>
      </c>
      <c r="T12" s="0" t="n">
        <v>83</v>
      </c>
      <c r="U12" s="0" t="n">
        <v>87</v>
      </c>
      <c r="V12" s="0" t="n">
        <v>85</v>
      </c>
      <c r="W12" s="0" t="n">
        <v>61</v>
      </c>
      <c r="X12" s="0" t="n">
        <v>89</v>
      </c>
      <c r="Y12" s="0" t="n">
        <v>69</v>
      </c>
      <c r="Z12" s="0" t="n">
        <v>58</v>
      </c>
      <c r="AA12" s="0" t="n">
        <v>85</v>
      </c>
      <c r="AB12" s="0" t="n">
        <v>87</v>
      </c>
      <c r="AC12" s="0" t="n">
        <v>69</v>
      </c>
      <c r="AD12" s="0" t="n">
        <v>72</v>
      </c>
      <c r="AE12" s="0" t="n">
        <v>9078</v>
      </c>
      <c r="AF12" s="0" t="n">
        <v>2004015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80</v>
      </c>
    </row>
    <row r="13" customFormat="false" ht="15" hidden="false" customHeight="false" outlineLevel="0" collapsed="false">
      <c r="A13" s="0" t="s">
        <v>143</v>
      </c>
      <c r="B13" s="0" t="s">
        <v>233</v>
      </c>
      <c r="C13" s="0" t="s">
        <v>39</v>
      </c>
      <c r="D13" s="0" t="s">
        <v>36</v>
      </c>
      <c r="E13" s="0" t="n">
        <v>14</v>
      </c>
      <c r="F13" s="0" t="n">
        <v>2004</v>
      </c>
      <c r="G13" s="0" t="n">
        <v>8</v>
      </c>
      <c r="H13" s="0" t="n">
        <v>13</v>
      </c>
      <c r="J13" s="0" t="n">
        <v>1.99</v>
      </c>
      <c r="K13" s="0" t="n">
        <v>103</v>
      </c>
      <c r="L13" s="0" t="n">
        <v>76</v>
      </c>
      <c r="M13" s="0" t="n">
        <v>68</v>
      </c>
      <c r="N13" s="0" t="n">
        <v>64</v>
      </c>
      <c r="O13" s="0" t="n">
        <v>66</v>
      </c>
      <c r="P13" s="0" t="n">
        <v>73</v>
      </c>
      <c r="Q13" s="0" t="n">
        <v>73</v>
      </c>
      <c r="R13" s="0" t="n">
        <v>61</v>
      </c>
      <c r="S13" s="0" t="n">
        <v>61</v>
      </c>
      <c r="T13" s="0" t="n">
        <v>72</v>
      </c>
      <c r="U13" s="0" t="n">
        <v>77</v>
      </c>
      <c r="V13" s="0" t="n">
        <v>71</v>
      </c>
      <c r="W13" s="0" t="n">
        <v>61</v>
      </c>
      <c r="X13" s="0" t="n">
        <v>79</v>
      </c>
      <c r="Y13" s="0" t="n">
        <v>77</v>
      </c>
      <c r="Z13" s="0" t="n">
        <v>65</v>
      </c>
      <c r="AA13" s="0" t="n">
        <v>78</v>
      </c>
      <c r="AB13" s="0" t="n">
        <v>78</v>
      </c>
      <c r="AC13" s="0" t="n">
        <v>66</v>
      </c>
      <c r="AD13" s="0" t="n">
        <v>68</v>
      </c>
      <c r="AE13" s="0" t="n">
        <v>9074</v>
      </c>
      <c r="AF13" s="0" t="n">
        <v>2004011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72</v>
      </c>
    </row>
    <row r="14" customFormat="false" ht="15" hidden="false" customHeight="false" outlineLevel="0" collapsed="false">
      <c r="A14" s="0" t="s">
        <v>43</v>
      </c>
      <c r="B14" s="0" t="s">
        <v>234</v>
      </c>
      <c r="C14" s="0" t="s">
        <v>45</v>
      </c>
      <c r="D14" s="0" t="s">
        <v>36</v>
      </c>
      <c r="E14" s="0" t="n">
        <v>13</v>
      </c>
      <c r="F14" s="0" t="n">
        <v>2008</v>
      </c>
      <c r="G14" s="0" t="n">
        <v>7</v>
      </c>
      <c r="H14" s="0" t="n">
        <v>8</v>
      </c>
      <c r="J14" s="0" t="n">
        <v>1.97</v>
      </c>
      <c r="K14" s="0" t="n">
        <v>88</v>
      </c>
      <c r="L14" s="0" t="n">
        <v>73</v>
      </c>
      <c r="M14" s="0" t="n">
        <v>73</v>
      </c>
      <c r="N14" s="0" t="n">
        <v>66</v>
      </c>
      <c r="O14" s="0" t="n">
        <v>73</v>
      </c>
      <c r="P14" s="0" t="n">
        <v>77</v>
      </c>
      <c r="Q14" s="0" t="n">
        <v>69</v>
      </c>
      <c r="R14" s="0" t="n">
        <v>70</v>
      </c>
      <c r="S14" s="0" t="n">
        <v>62</v>
      </c>
      <c r="T14" s="0" t="n">
        <v>55</v>
      </c>
      <c r="U14" s="0" t="n">
        <v>65</v>
      </c>
      <c r="V14" s="0" t="n">
        <v>60</v>
      </c>
      <c r="W14" s="0" t="n">
        <v>67</v>
      </c>
      <c r="X14" s="0" t="n">
        <v>62</v>
      </c>
      <c r="Y14" s="0" t="n">
        <v>62</v>
      </c>
      <c r="Z14" s="0" t="n">
        <v>79</v>
      </c>
      <c r="AA14" s="0" t="n">
        <v>76</v>
      </c>
      <c r="AB14" s="0" t="n">
        <v>72</v>
      </c>
      <c r="AC14" s="0" t="n">
        <v>65</v>
      </c>
      <c r="AD14" s="0" t="n">
        <v>65</v>
      </c>
      <c r="AE14" s="0" t="n">
        <v>9082</v>
      </c>
      <c r="AF14" s="0" t="n">
        <v>2004045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69</v>
      </c>
    </row>
    <row r="15" customFormat="false" ht="15" hidden="false" customHeight="false" outlineLevel="0" collapsed="false">
      <c r="A15" s="0" t="s">
        <v>235</v>
      </c>
      <c r="B15" s="0" t="s">
        <v>236</v>
      </c>
      <c r="C15" s="0" t="s">
        <v>39</v>
      </c>
      <c r="D15" s="0" t="s">
        <v>36</v>
      </c>
      <c r="E15" s="0" t="n">
        <v>44</v>
      </c>
      <c r="F15" s="0" t="n">
        <v>2006</v>
      </c>
      <c r="G15" s="0" t="n">
        <v>4</v>
      </c>
      <c r="H15" s="0" t="n">
        <v>18</v>
      </c>
      <c r="J15" s="0" t="n">
        <v>1.98</v>
      </c>
      <c r="K15" s="0" t="n">
        <v>99</v>
      </c>
      <c r="L15" s="0" t="n">
        <v>75</v>
      </c>
      <c r="M15" s="0" t="n">
        <v>67</v>
      </c>
      <c r="N15" s="0" t="n">
        <v>63</v>
      </c>
      <c r="O15" s="0" t="n">
        <v>65</v>
      </c>
      <c r="P15" s="0" t="n">
        <v>72</v>
      </c>
      <c r="Q15" s="0" t="n">
        <v>74</v>
      </c>
      <c r="R15" s="0" t="n">
        <v>60</v>
      </c>
      <c r="S15" s="0" t="n">
        <v>58</v>
      </c>
      <c r="T15" s="0" t="n">
        <v>71</v>
      </c>
      <c r="U15" s="0" t="n">
        <v>76</v>
      </c>
      <c r="V15" s="0" t="n">
        <v>70</v>
      </c>
      <c r="W15" s="0" t="n">
        <v>60</v>
      </c>
      <c r="X15" s="0" t="n">
        <v>78</v>
      </c>
      <c r="Y15" s="0" t="n">
        <v>76</v>
      </c>
      <c r="Z15" s="0" t="n">
        <v>68</v>
      </c>
      <c r="AA15" s="0" t="n">
        <v>77</v>
      </c>
      <c r="AB15" s="0" t="n">
        <v>77</v>
      </c>
      <c r="AC15" s="0" t="n">
        <v>61</v>
      </c>
      <c r="AD15" s="0" t="n">
        <v>61</v>
      </c>
      <c r="AE15" s="0" t="n">
        <v>9081</v>
      </c>
      <c r="AF15" s="0" t="n">
        <v>2004032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237</v>
      </c>
      <c r="B2" s="0" t="s">
        <v>238</v>
      </c>
      <c r="C2" s="0" t="s">
        <v>35</v>
      </c>
      <c r="D2" s="0" t="s">
        <v>36</v>
      </c>
      <c r="E2" s="0" t="n">
        <v>28</v>
      </c>
      <c r="F2" s="0" t="n">
        <v>1998</v>
      </c>
      <c r="G2" s="0" t="n">
        <v>9</v>
      </c>
      <c r="H2" s="0" t="n">
        <v>28</v>
      </c>
      <c r="J2" s="0" t="n">
        <v>1.88</v>
      </c>
      <c r="K2" s="0" t="n">
        <v>88</v>
      </c>
      <c r="L2" s="0" t="n">
        <v>83</v>
      </c>
      <c r="M2" s="0" t="n">
        <v>88</v>
      </c>
      <c r="N2" s="0" t="n">
        <v>95</v>
      </c>
      <c r="O2" s="0" t="n">
        <v>69</v>
      </c>
      <c r="P2" s="0" t="n">
        <v>94</v>
      </c>
      <c r="Q2" s="0" t="n">
        <v>67</v>
      </c>
      <c r="R2" s="0" t="n">
        <v>99</v>
      </c>
      <c r="S2" s="0" t="n">
        <v>99</v>
      </c>
      <c r="T2" s="0" t="n">
        <v>62</v>
      </c>
      <c r="U2" s="0" t="n">
        <v>57</v>
      </c>
      <c r="V2" s="0" t="n">
        <v>57</v>
      </c>
      <c r="W2" s="0" t="n">
        <v>96</v>
      </c>
      <c r="X2" s="0" t="n">
        <v>61</v>
      </c>
      <c r="Y2" s="0" t="n">
        <v>63</v>
      </c>
      <c r="Z2" s="0" t="n">
        <v>95</v>
      </c>
      <c r="AA2" s="0" t="n">
        <v>88</v>
      </c>
      <c r="AB2" s="0" t="n">
        <v>83</v>
      </c>
      <c r="AC2" s="0" t="n">
        <v>82</v>
      </c>
      <c r="AD2" s="0" t="n">
        <v>81</v>
      </c>
      <c r="AE2" s="0" t="n">
        <v>9090</v>
      </c>
      <c r="AF2" s="0" t="n">
        <v>2004151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94</v>
      </c>
    </row>
    <row r="3" customFormat="false" ht="15" hidden="false" customHeight="false" outlineLevel="0" collapsed="false">
      <c r="A3" s="0" t="s">
        <v>43</v>
      </c>
      <c r="B3" s="0" t="s">
        <v>239</v>
      </c>
      <c r="C3" s="0" t="s">
        <v>42</v>
      </c>
      <c r="D3" s="0" t="s">
        <v>36</v>
      </c>
      <c r="E3" s="0" t="n">
        <v>6</v>
      </c>
      <c r="F3" s="0" t="n">
        <v>2000</v>
      </c>
      <c r="G3" s="0" t="n">
        <v>10</v>
      </c>
      <c r="H3" s="0" t="n">
        <v>4</v>
      </c>
      <c r="J3" s="0" t="n">
        <v>1.95</v>
      </c>
      <c r="K3" s="0" t="n">
        <v>92</v>
      </c>
      <c r="L3" s="0" t="n">
        <v>82</v>
      </c>
      <c r="M3" s="0" t="n">
        <v>85</v>
      </c>
      <c r="N3" s="0" t="n">
        <v>94</v>
      </c>
      <c r="O3" s="0" t="n">
        <v>92</v>
      </c>
      <c r="P3" s="0" t="n">
        <v>86</v>
      </c>
      <c r="Q3" s="0" t="n">
        <v>70</v>
      </c>
      <c r="R3" s="0" t="n">
        <v>86</v>
      </c>
      <c r="S3" s="0" t="n">
        <v>77</v>
      </c>
      <c r="T3" s="0" t="n">
        <v>62</v>
      </c>
      <c r="U3" s="0" t="n">
        <v>65</v>
      </c>
      <c r="V3" s="0" t="n">
        <v>65</v>
      </c>
      <c r="W3" s="0" t="n">
        <v>85</v>
      </c>
      <c r="X3" s="0" t="n">
        <v>60</v>
      </c>
      <c r="Y3" s="0" t="n">
        <v>67</v>
      </c>
      <c r="Z3" s="0" t="n">
        <v>90</v>
      </c>
      <c r="AA3" s="0" t="n">
        <v>87</v>
      </c>
      <c r="AB3" s="0" t="n">
        <v>81</v>
      </c>
      <c r="AC3" s="0" t="n">
        <v>81</v>
      </c>
      <c r="AD3" s="0" t="n">
        <v>81</v>
      </c>
      <c r="AE3" s="0" t="n">
        <v>5026</v>
      </c>
      <c r="AF3" s="0" t="n">
        <v>6604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87</v>
      </c>
    </row>
    <row r="4" customFormat="false" ht="15" hidden="false" customHeight="false" outlineLevel="0" collapsed="false">
      <c r="A4" s="0" t="s">
        <v>240</v>
      </c>
      <c r="B4" s="0" t="s">
        <v>241</v>
      </c>
      <c r="C4" s="0" t="s">
        <v>42</v>
      </c>
      <c r="D4" s="0" t="s">
        <v>36</v>
      </c>
      <c r="E4" s="0" t="n">
        <v>7</v>
      </c>
      <c r="F4" s="0" t="n">
        <v>2004</v>
      </c>
      <c r="G4" s="0" t="n">
        <v>3</v>
      </c>
      <c r="H4" s="0" t="n">
        <v>14</v>
      </c>
      <c r="J4" s="0" t="n">
        <v>1.99</v>
      </c>
      <c r="K4" s="0" t="n">
        <v>95</v>
      </c>
      <c r="L4" s="0" t="n">
        <v>81</v>
      </c>
      <c r="M4" s="0" t="n">
        <v>84</v>
      </c>
      <c r="N4" s="0" t="n">
        <v>93</v>
      </c>
      <c r="O4" s="0" t="n">
        <v>60</v>
      </c>
      <c r="P4" s="0" t="n">
        <v>85</v>
      </c>
      <c r="Q4" s="0" t="n">
        <v>69</v>
      </c>
      <c r="R4" s="0" t="n">
        <v>85</v>
      </c>
      <c r="S4" s="0" t="n">
        <v>76</v>
      </c>
      <c r="T4" s="0" t="n">
        <v>61</v>
      </c>
      <c r="U4" s="0" t="n">
        <v>66</v>
      </c>
      <c r="V4" s="0" t="n">
        <v>64</v>
      </c>
      <c r="W4" s="0" t="n">
        <v>81</v>
      </c>
      <c r="X4" s="0" t="n">
        <v>59</v>
      </c>
      <c r="Y4" s="0" t="n">
        <v>64</v>
      </c>
      <c r="Z4" s="0" t="n">
        <v>89</v>
      </c>
      <c r="AA4" s="0" t="n">
        <v>86</v>
      </c>
      <c r="AB4" s="0" t="n">
        <v>80</v>
      </c>
      <c r="AC4" s="0" t="n">
        <v>78</v>
      </c>
      <c r="AD4" s="0" t="n">
        <v>80</v>
      </c>
      <c r="AE4" s="0" t="n">
        <v>9016</v>
      </c>
      <c r="AF4" s="0" t="n">
        <v>1400028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83</v>
      </c>
    </row>
    <row r="5" customFormat="false" ht="15" hidden="false" customHeight="false" outlineLevel="0" collapsed="false">
      <c r="A5" s="0" t="s">
        <v>242</v>
      </c>
      <c r="B5" s="0" t="s">
        <v>243</v>
      </c>
      <c r="C5" s="0" t="s">
        <v>52</v>
      </c>
      <c r="D5" s="0" t="s">
        <v>36</v>
      </c>
      <c r="E5" s="0" t="n">
        <v>45</v>
      </c>
      <c r="F5" s="0" t="n">
        <v>2003</v>
      </c>
      <c r="G5" s="0" t="n">
        <v>6</v>
      </c>
      <c r="H5" s="0" t="n">
        <v>27</v>
      </c>
      <c r="J5" s="0" t="n">
        <v>2.08</v>
      </c>
      <c r="K5" s="0" t="n">
        <v>111</v>
      </c>
      <c r="L5" s="0" t="n">
        <v>99</v>
      </c>
      <c r="M5" s="0" t="n">
        <v>73</v>
      </c>
      <c r="N5" s="0" t="n">
        <v>61</v>
      </c>
      <c r="O5" s="0" t="n">
        <v>69</v>
      </c>
      <c r="P5" s="0" t="n">
        <v>91</v>
      </c>
      <c r="Q5" s="0" t="n">
        <v>87</v>
      </c>
      <c r="R5" s="0" t="n">
        <v>59</v>
      </c>
      <c r="S5" s="0" t="n">
        <v>62</v>
      </c>
      <c r="T5" s="0" t="n">
        <v>87</v>
      </c>
      <c r="U5" s="0" t="n">
        <v>99</v>
      </c>
      <c r="V5" s="0" t="n">
        <v>98</v>
      </c>
      <c r="W5" s="0" t="n">
        <v>64</v>
      </c>
      <c r="X5" s="0" t="n">
        <v>92</v>
      </c>
      <c r="Y5" s="0" t="n">
        <v>97</v>
      </c>
      <c r="Z5" s="0" t="n">
        <v>58</v>
      </c>
      <c r="AA5" s="0" t="n">
        <v>88</v>
      </c>
      <c r="AB5" s="0" t="n">
        <v>90</v>
      </c>
      <c r="AC5" s="0" t="n">
        <v>73</v>
      </c>
      <c r="AD5" s="0" t="n">
        <v>76</v>
      </c>
      <c r="AE5" s="0" t="n">
        <v>9048</v>
      </c>
      <c r="AF5" s="0" t="n">
        <v>2003199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92</v>
      </c>
    </row>
    <row r="6" customFormat="false" ht="15" hidden="false" customHeight="false" outlineLevel="0" collapsed="false">
      <c r="A6" s="0" t="s">
        <v>191</v>
      </c>
      <c r="B6" s="0" t="s">
        <v>244</v>
      </c>
      <c r="C6" s="0" t="s">
        <v>39</v>
      </c>
      <c r="D6" s="0" t="s">
        <v>36</v>
      </c>
      <c r="E6" s="0" t="n">
        <v>55</v>
      </c>
      <c r="F6" s="0" t="n">
        <v>2003</v>
      </c>
      <c r="G6" s="0" t="n">
        <v>3</v>
      </c>
      <c r="H6" s="0" t="n">
        <v>17</v>
      </c>
      <c r="J6" s="0" t="n">
        <v>2.05</v>
      </c>
      <c r="K6" s="0" t="n">
        <v>108</v>
      </c>
      <c r="L6" s="0" t="n">
        <v>86</v>
      </c>
      <c r="M6" s="0" t="n">
        <v>78</v>
      </c>
      <c r="N6" s="0" t="n">
        <v>74</v>
      </c>
      <c r="O6" s="0" t="n">
        <v>60</v>
      </c>
      <c r="P6" s="0" t="n">
        <v>83</v>
      </c>
      <c r="Q6" s="0" t="n">
        <v>82</v>
      </c>
      <c r="R6" s="0" t="n">
        <v>67</v>
      </c>
      <c r="S6" s="0" t="n">
        <v>69</v>
      </c>
      <c r="T6" s="0" t="n">
        <v>81</v>
      </c>
      <c r="U6" s="0" t="n">
        <v>88</v>
      </c>
      <c r="V6" s="0" t="n">
        <v>79</v>
      </c>
      <c r="W6" s="0" t="n">
        <v>69</v>
      </c>
      <c r="X6" s="0" t="n">
        <v>87</v>
      </c>
      <c r="Y6" s="0" t="n">
        <v>70</v>
      </c>
      <c r="Z6" s="0" t="n">
        <v>68</v>
      </c>
      <c r="AA6" s="0" t="n">
        <v>86</v>
      </c>
      <c r="AB6" s="0" t="n">
        <v>86</v>
      </c>
      <c r="AC6" s="0" t="n">
        <v>75</v>
      </c>
      <c r="AD6" s="0" t="n">
        <v>77</v>
      </c>
      <c r="AE6" s="0" t="n">
        <v>9061</v>
      </c>
      <c r="AF6" s="0" t="n">
        <v>2003942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81</v>
      </c>
    </row>
    <row r="7" customFormat="false" ht="15" hidden="false" customHeight="false" outlineLevel="0" collapsed="false">
      <c r="A7" s="0" t="s">
        <v>245</v>
      </c>
      <c r="B7" s="0" t="s">
        <v>246</v>
      </c>
      <c r="C7" s="0" t="s">
        <v>45</v>
      </c>
      <c r="D7" s="0" t="s">
        <v>36</v>
      </c>
      <c r="E7" s="0" t="n">
        <v>8</v>
      </c>
      <c r="F7" s="0" t="n">
        <v>1995</v>
      </c>
      <c r="G7" s="0" t="n">
        <v>2</v>
      </c>
      <c r="H7" s="0" t="n">
        <v>15</v>
      </c>
      <c r="J7" s="0" t="n">
        <v>1.97</v>
      </c>
      <c r="K7" s="0" t="n">
        <v>92</v>
      </c>
      <c r="L7" s="0" t="n">
        <v>82</v>
      </c>
      <c r="M7" s="0" t="n">
        <v>82</v>
      </c>
      <c r="N7" s="0" t="n">
        <v>82</v>
      </c>
      <c r="O7" s="0" t="n">
        <v>69</v>
      </c>
      <c r="P7" s="0" t="n">
        <v>86</v>
      </c>
      <c r="Q7" s="0" t="n">
        <v>76</v>
      </c>
      <c r="R7" s="0" t="n">
        <v>79</v>
      </c>
      <c r="S7" s="0" t="n">
        <v>75</v>
      </c>
      <c r="T7" s="0" t="n">
        <v>64</v>
      </c>
      <c r="U7" s="0" t="n">
        <v>74</v>
      </c>
      <c r="V7" s="0" t="n">
        <v>69</v>
      </c>
      <c r="W7" s="0" t="n">
        <v>76</v>
      </c>
      <c r="X7" s="0" t="n">
        <v>74</v>
      </c>
      <c r="Y7" s="0" t="n">
        <v>71</v>
      </c>
      <c r="Z7" s="0" t="n">
        <v>81</v>
      </c>
      <c r="AA7" s="0" t="n">
        <v>82</v>
      </c>
      <c r="AB7" s="0" t="n">
        <v>84</v>
      </c>
      <c r="AC7" s="0" t="n">
        <v>81</v>
      </c>
      <c r="AD7" s="0" t="n">
        <v>85</v>
      </c>
      <c r="AE7" s="0" t="n">
        <v>9006</v>
      </c>
      <c r="AF7" s="0" t="n">
        <v>1400007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82</v>
      </c>
    </row>
    <row r="8" customFormat="false" ht="15" hidden="false" customHeight="false" outlineLevel="0" collapsed="false">
      <c r="A8" s="0" t="s">
        <v>247</v>
      </c>
      <c r="B8" s="0" t="s">
        <v>248</v>
      </c>
      <c r="C8" s="0" t="s">
        <v>39</v>
      </c>
      <c r="D8" s="0" t="s">
        <v>36</v>
      </c>
      <c r="E8" s="0" t="n">
        <v>2</v>
      </c>
      <c r="F8" s="0" t="n">
        <v>2003</v>
      </c>
      <c r="G8" s="0" t="n">
        <v>1</v>
      </c>
      <c r="H8" s="0" t="n">
        <v>3</v>
      </c>
      <c r="J8" s="0" t="n">
        <v>2</v>
      </c>
      <c r="K8" s="0" t="n">
        <v>108</v>
      </c>
      <c r="L8" s="0" t="n">
        <v>83</v>
      </c>
      <c r="M8" s="0" t="n">
        <v>75</v>
      </c>
      <c r="N8" s="0" t="n">
        <v>60</v>
      </c>
      <c r="O8" s="0" t="n">
        <v>78</v>
      </c>
      <c r="P8" s="0" t="n">
        <v>80</v>
      </c>
      <c r="Q8" s="0" t="n">
        <v>80</v>
      </c>
      <c r="R8" s="0" t="n">
        <v>65</v>
      </c>
      <c r="S8" s="0" t="n">
        <v>68</v>
      </c>
      <c r="T8" s="0" t="n">
        <v>79</v>
      </c>
      <c r="U8" s="0" t="n">
        <v>87</v>
      </c>
      <c r="V8" s="0" t="n">
        <v>78</v>
      </c>
      <c r="W8" s="0" t="n">
        <v>68</v>
      </c>
      <c r="X8" s="0" t="n">
        <v>86</v>
      </c>
      <c r="Y8" s="0" t="n">
        <v>70</v>
      </c>
      <c r="Z8" s="0" t="n">
        <v>67</v>
      </c>
      <c r="AA8" s="0" t="n">
        <v>85</v>
      </c>
      <c r="AB8" s="0" t="n">
        <v>85</v>
      </c>
      <c r="AC8" s="0" t="n">
        <v>74</v>
      </c>
      <c r="AD8" s="0" t="n">
        <v>74</v>
      </c>
      <c r="AE8" s="0" t="n">
        <v>9024</v>
      </c>
      <c r="AF8" s="0" t="n">
        <v>2001623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79</v>
      </c>
    </row>
    <row r="9" customFormat="false" ht="15" hidden="false" customHeight="false" outlineLevel="0" collapsed="false">
      <c r="A9" s="0" t="s">
        <v>249</v>
      </c>
      <c r="B9" s="0" t="s">
        <v>250</v>
      </c>
      <c r="C9" s="0" t="s">
        <v>42</v>
      </c>
      <c r="D9" s="0" t="s">
        <v>36</v>
      </c>
      <c r="E9" s="0" t="n">
        <v>3</v>
      </c>
      <c r="F9" s="0" t="n">
        <v>1997</v>
      </c>
      <c r="G9" s="0" t="n">
        <v>5</v>
      </c>
      <c r="H9" s="0" t="n">
        <v>2</v>
      </c>
      <c r="J9" s="0" t="n">
        <v>1.85</v>
      </c>
      <c r="K9" s="0" t="n">
        <v>68</v>
      </c>
      <c r="L9" s="0" t="n">
        <v>80</v>
      </c>
      <c r="M9" s="0" t="n">
        <v>83</v>
      </c>
      <c r="N9" s="0" t="n">
        <v>97</v>
      </c>
      <c r="O9" s="0" t="n">
        <v>93</v>
      </c>
      <c r="P9" s="0" t="n">
        <v>87</v>
      </c>
      <c r="Q9" s="0" t="n">
        <v>66</v>
      </c>
      <c r="R9" s="0" t="n">
        <v>86</v>
      </c>
      <c r="S9" s="0" t="n">
        <v>75</v>
      </c>
      <c r="T9" s="0" t="n">
        <v>60</v>
      </c>
      <c r="U9" s="0" t="n">
        <v>59</v>
      </c>
      <c r="V9" s="0" t="n">
        <v>59</v>
      </c>
      <c r="W9" s="0" t="n">
        <v>80</v>
      </c>
      <c r="X9" s="0" t="n">
        <v>58</v>
      </c>
      <c r="Y9" s="0" t="n">
        <v>63</v>
      </c>
      <c r="Z9" s="0" t="n">
        <v>94</v>
      </c>
      <c r="AA9" s="0" t="n">
        <v>85</v>
      </c>
      <c r="AB9" s="0" t="n">
        <v>79</v>
      </c>
      <c r="AC9" s="0" t="n">
        <v>77</v>
      </c>
      <c r="AD9" s="0" t="n">
        <v>79</v>
      </c>
      <c r="AE9" s="0" t="n">
        <v>9054</v>
      </c>
      <c r="AF9" s="0" t="n">
        <v>2003855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85</v>
      </c>
    </row>
    <row r="10" customFormat="false" ht="15" hidden="false" customHeight="false" outlineLevel="0" collapsed="false">
      <c r="A10" s="0" t="s">
        <v>251</v>
      </c>
      <c r="B10" s="0" t="s">
        <v>252</v>
      </c>
      <c r="C10" s="0" t="s">
        <v>35</v>
      </c>
      <c r="D10" s="0" t="s">
        <v>36</v>
      </c>
      <c r="E10" s="0" t="n">
        <v>0</v>
      </c>
      <c r="F10" s="0" t="n">
        <v>2005</v>
      </c>
      <c r="G10" s="0" t="n">
        <v>1</v>
      </c>
      <c r="H10" s="0" t="n">
        <v>13</v>
      </c>
      <c r="J10" s="0" t="n">
        <v>1.9</v>
      </c>
      <c r="K10" s="0" t="n">
        <v>86</v>
      </c>
      <c r="L10" s="0" t="n">
        <v>77</v>
      </c>
      <c r="M10" s="0" t="n">
        <v>82</v>
      </c>
      <c r="N10" s="0" t="n">
        <v>84</v>
      </c>
      <c r="O10" s="0" t="n">
        <v>60</v>
      </c>
      <c r="P10" s="0" t="n">
        <v>88</v>
      </c>
      <c r="Q10" s="0" t="n">
        <v>64</v>
      </c>
      <c r="R10" s="0" t="n">
        <v>93</v>
      </c>
      <c r="S10" s="0" t="n">
        <v>87</v>
      </c>
      <c r="T10" s="0" t="n">
        <v>57</v>
      </c>
      <c r="U10" s="0" t="n">
        <v>53</v>
      </c>
      <c r="V10" s="0" t="n">
        <v>53</v>
      </c>
      <c r="W10" s="0" t="n">
        <v>89</v>
      </c>
      <c r="X10" s="0" t="n">
        <v>57</v>
      </c>
      <c r="Y10" s="0" t="n">
        <v>57</v>
      </c>
      <c r="Z10" s="0" t="n">
        <v>95</v>
      </c>
      <c r="AA10" s="0" t="n">
        <v>84</v>
      </c>
      <c r="AB10" s="0" t="n">
        <v>79</v>
      </c>
      <c r="AC10" s="0" t="n">
        <v>72</v>
      </c>
      <c r="AD10" s="0" t="n">
        <v>72</v>
      </c>
      <c r="AE10" s="0" t="n">
        <v>9004</v>
      </c>
      <c r="AF10" s="0" t="n">
        <v>1400003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84</v>
      </c>
    </row>
    <row r="11" customFormat="false" ht="15" hidden="false" customHeight="false" outlineLevel="0" collapsed="false">
      <c r="A11" s="0" t="s">
        <v>53</v>
      </c>
      <c r="B11" s="0" t="s">
        <v>253</v>
      </c>
      <c r="C11" s="0" t="s">
        <v>42</v>
      </c>
      <c r="D11" s="0" t="s">
        <v>36</v>
      </c>
      <c r="E11" s="0" t="n">
        <v>12</v>
      </c>
      <c r="F11" s="0" t="n">
        <v>2001</v>
      </c>
      <c r="G11" s="0" t="n">
        <v>7</v>
      </c>
      <c r="H11" s="0" t="n">
        <v>26</v>
      </c>
      <c r="J11" s="0" t="n">
        <v>1.95</v>
      </c>
      <c r="K11" s="0" t="n">
        <v>101</v>
      </c>
      <c r="L11" s="0" t="n">
        <v>84</v>
      </c>
      <c r="M11" s="0" t="n">
        <v>81</v>
      </c>
      <c r="N11" s="0" t="n">
        <v>60</v>
      </c>
      <c r="O11" s="0" t="n">
        <v>91</v>
      </c>
      <c r="P11" s="0" t="n">
        <v>88</v>
      </c>
      <c r="Q11" s="0" t="n">
        <v>66</v>
      </c>
      <c r="R11" s="0" t="n">
        <v>81</v>
      </c>
      <c r="S11" s="0" t="n">
        <v>73</v>
      </c>
      <c r="T11" s="0" t="n">
        <v>60</v>
      </c>
      <c r="U11" s="0" t="n">
        <v>63</v>
      </c>
      <c r="V11" s="0" t="n">
        <v>61</v>
      </c>
      <c r="W11" s="0" t="n">
        <v>78</v>
      </c>
      <c r="X11" s="0" t="n">
        <v>56</v>
      </c>
      <c r="Y11" s="0" t="n">
        <v>61</v>
      </c>
      <c r="Z11" s="0" t="n">
        <v>86</v>
      </c>
      <c r="AA11" s="0" t="n">
        <v>83</v>
      </c>
      <c r="AB11" s="0" t="n">
        <v>77</v>
      </c>
      <c r="AC11" s="0" t="n">
        <v>75</v>
      </c>
      <c r="AD11" s="0" t="n">
        <v>76</v>
      </c>
      <c r="AE11" s="0" t="n">
        <v>9055</v>
      </c>
      <c r="AF11" s="0" t="n">
        <v>2003858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79</v>
      </c>
    </row>
    <row r="12" customFormat="false" ht="15" hidden="false" customHeight="false" outlineLevel="0" collapsed="false">
      <c r="A12" s="0" t="s">
        <v>254</v>
      </c>
      <c r="B12" s="0" t="s">
        <v>255</v>
      </c>
      <c r="C12" s="0" t="s">
        <v>45</v>
      </c>
      <c r="D12" s="0" t="s">
        <v>36</v>
      </c>
      <c r="E12" s="0" t="n">
        <v>44</v>
      </c>
      <c r="F12" s="0" t="n">
        <v>1997</v>
      </c>
      <c r="G12" s="0" t="n">
        <v>1</v>
      </c>
      <c r="H12" s="0" t="n">
        <v>3</v>
      </c>
      <c r="J12" s="0" t="n">
        <v>1.93</v>
      </c>
      <c r="K12" s="0" t="n">
        <v>97</v>
      </c>
      <c r="L12" s="0" t="n">
        <v>78</v>
      </c>
      <c r="M12" s="0" t="n">
        <v>78</v>
      </c>
      <c r="N12" s="0" t="n">
        <v>60</v>
      </c>
      <c r="O12" s="0" t="n">
        <v>60</v>
      </c>
      <c r="P12" s="0" t="n">
        <v>82</v>
      </c>
      <c r="Q12" s="0" t="n">
        <v>72</v>
      </c>
      <c r="R12" s="0" t="n">
        <v>75</v>
      </c>
      <c r="S12" s="0" t="n">
        <v>69</v>
      </c>
      <c r="T12" s="0" t="n">
        <v>60</v>
      </c>
      <c r="U12" s="0" t="n">
        <v>72</v>
      </c>
      <c r="V12" s="0" t="n">
        <v>65</v>
      </c>
      <c r="W12" s="0" t="n">
        <v>72</v>
      </c>
      <c r="X12" s="0" t="n">
        <v>67</v>
      </c>
      <c r="Y12" s="0" t="n">
        <v>67</v>
      </c>
      <c r="Z12" s="0" t="n">
        <v>80</v>
      </c>
      <c r="AA12" s="0" t="n">
        <v>81</v>
      </c>
      <c r="AB12" s="0" t="n">
        <v>77</v>
      </c>
      <c r="AC12" s="0" t="n">
        <v>74</v>
      </c>
      <c r="AD12" s="0" t="n">
        <v>76</v>
      </c>
      <c r="AE12" s="0" t="n">
        <v>5151</v>
      </c>
      <c r="AF12" s="0" t="n">
        <v>2001627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75</v>
      </c>
    </row>
    <row r="13" customFormat="false" ht="15" hidden="false" customHeight="false" outlineLevel="0" collapsed="false">
      <c r="A13" s="0" t="s">
        <v>256</v>
      </c>
      <c r="B13" s="0" t="s">
        <v>213</v>
      </c>
      <c r="C13" s="0" t="s">
        <v>52</v>
      </c>
      <c r="D13" s="0" t="s">
        <v>36</v>
      </c>
      <c r="E13" s="0" t="n">
        <v>22</v>
      </c>
      <c r="F13" s="0" t="n">
        <v>2004</v>
      </c>
      <c r="G13" s="0" t="n">
        <v>11</v>
      </c>
      <c r="H13" s="0" t="n">
        <v>29</v>
      </c>
      <c r="J13" s="0" t="n">
        <v>2.08</v>
      </c>
      <c r="K13" s="0" t="n">
        <v>100</v>
      </c>
      <c r="L13" s="0" t="n">
        <v>87</v>
      </c>
      <c r="M13" s="0" t="n">
        <v>67</v>
      </c>
      <c r="N13" s="0" t="n">
        <v>55</v>
      </c>
      <c r="O13" s="0" t="n">
        <v>69</v>
      </c>
      <c r="P13" s="0" t="n">
        <v>78</v>
      </c>
      <c r="Q13" s="0" t="n">
        <v>82</v>
      </c>
      <c r="R13" s="0" t="n">
        <v>55</v>
      </c>
      <c r="S13" s="0" t="n">
        <v>58</v>
      </c>
      <c r="T13" s="0" t="n">
        <v>80</v>
      </c>
      <c r="U13" s="0" t="n">
        <v>88</v>
      </c>
      <c r="V13" s="0" t="n">
        <v>87</v>
      </c>
      <c r="W13" s="0" t="n">
        <v>60</v>
      </c>
      <c r="X13" s="0" t="n">
        <v>85</v>
      </c>
      <c r="Y13" s="0" t="n">
        <v>88</v>
      </c>
      <c r="Z13" s="0" t="n">
        <v>57</v>
      </c>
      <c r="AA13" s="0" t="n">
        <v>84</v>
      </c>
      <c r="AB13" s="0" t="n">
        <v>83</v>
      </c>
      <c r="AC13" s="0" t="n">
        <v>67</v>
      </c>
      <c r="AD13" s="0" t="n">
        <v>71</v>
      </c>
      <c r="AE13" s="0" t="n">
        <v>5153</v>
      </c>
      <c r="AF13" s="0" t="n">
        <v>2001629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82</v>
      </c>
    </row>
    <row r="14" customFormat="false" ht="15" hidden="false" customHeight="false" outlineLevel="0" collapsed="false">
      <c r="A14" s="0" t="s">
        <v>257</v>
      </c>
      <c r="B14" s="0" t="s">
        <v>258</v>
      </c>
      <c r="C14" s="0" t="s">
        <v>35</v>
      </c>
      <c r="D14" s="0" t="s">
        <v>36</v>
      </c>
      <c r="E14" s="0" t="n">
        <v>9</v>
      </c>
      <c r="F14" s="0" t="n">
        <v>2004</v>
      </c>
      <c r="G14" s="0" t="n">
        <v>6</v>
      </c>
      <c r="H14" s="0" t="n">
        <v>6</v>
      </c>
      <c r="J14" s="0" t="n">
        <v>1.92</v>
      </c>
      <c r="K14" s="0" t="n">
        <v>81</v>
      </c>
      <c r="L14" s="0" t="n">
        <v>73</v>
      </c>
      <c r="M14" s="0" t="n">
        <v>78</v>
      </c>
      <c r="N14" s="0" t="n">
        <v>80</v>
      </c>
      <c r="O14" s="0" t="n">
        <v>88</v>
      </c>
      <c r="P14" s="0" t="n">
        <v>84</v>
      </c>
      <c r="Q14" s="0" t="n">
        <v>58</v>
      </c>
      <c r="R14" s="0" t="n">
        <v>89</v>
      </c>
      <c r="S14" s="0" t="n">
        <v>85</v>
      </c>
      <c r="T14" s="0" t="n">
        <v>53</v>
      </c>
      <c r="U14" s="0" t="n">
        <v>50</v>
      </c>
      <c r="V14" s="0" t="n">
        <v>50</v>
      </c>
      <c r="W14" s="0" t="n">
        <v>85</v>
      </c>
      <c r="X14" s="0" t="n">
        <v>53</v>
      </c>
      <c r="Y14" s="0" t="n">
        <v>53</v>
      </c>
      <c r="Z14" s="0" t="n">
        <v>89</v>
      </c>
      <c r="AA14" s="0" t="n">
        <v>80</v>
      </c>
      <c r="AB14" s="0" t="n">
        <v>75</v>
      </c>
      <c r="AC14" s="0" t="n">
        <v>72</v>
      </c>
      <c r="AD14" s="0" t="n">
        <v>74</v>
      </c>
      <c r="AE14" s="0" t="n">
        <v>5149</v>
      </c>
      <c r="AF14" s="0" t="n">
        <v>2001622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80</v>
      </c>
    </row>
    <row r="15" customFormat="false" ht="15" hidden="false" customHeight="false" outlineLevel="0" collapsed="false">
      <c r="A15" s="0" t="s">
        <v>259</v>
      </c>
      <c r="B15" s="0" t="s">
        <v>260</v>
      </c>
      <c r="C15" s="0" t="s">
        <v>42</v>
      </c>
      <c r="D15" s="0" t="s">
        <v>36</v>
      </c>
      <c r="E15" s="0" t="n">
        <v>20</v>
      </c>
      <c r="F15" s="0" t="n">
        <v>2009</v>
      </c>
      <c r="G15" s="0" t="n">
        <v>2</v>
      </c>
      <c r="H15" s="0" t="n">
        <v>1</v>
      </c>
      <c r="J15" s="0" t="n">
        <v>1.9</v>
      </c>
      <c r="K15" s="0" t="n">
        <v>81</v>
      </c>
      <c r="L15" s="0" t="n">
        <v>74</v>
      </c>
      <c r="M15" s="0" t="n">
        <v>77</v>
      </c>
      <c r="N15" s="0" t="n">
        <v>79</v>
      </c>
      <c r="O15" s="0" t="n">
        <v>79</v>
      </c>
      <c r="P15" s="0" t="n">
        <v>81</v>
      </c>
      <c r="Q15" s="0" t="n">
        <v>62</v>
      </c>
      <c r="R15" s="0" t="n">
        <v>80</v>
      </c>
      <c r="S15" s="0" t="n">
        <v>67</v>
      </c>
      <c r="T15" s="0" t="n">
        <v>54</v>
      </c>
      <c r="U15" s="0" t="n">
        <v>53</v>
      </c>
      <c r="V15" s="0" t="n">
        <v>53</v>
      </c>
      <c r="W15" s="0" t="n">
        <v>74</v>
      </c>
      <c r="X15" s="0" t="n">
        <v>52</v>
      </c>
      <c r="Y15" s="0" t="n">
        <v>57</v>
      </c>
      <c r="Z15" s="0" t="n">
        <v>90</v>
      </c>
      <c r="AA15" s="0" t="n">
        <v>79</v>
      </c>
      <c r="AB15" s="0" t="n">
        <v>73</v>
      </c>
      <c r="AC15" s="0" t="n">
        <v>67</v>
      </c>
      <c r="AD15" s="0" t="n">
        <v>67</v>
      </c>
      <c r="AE15" s="0" t="n">
        <v>5150</v>
      </c>
      <c r="AF15" s="0" t="n">
        <v>2001626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75</v>
      </c>
    </row>
    <row r="16" customFormat="false" ht="15" hidden="false" customHeight="false" outlineLevel="0" collapsed="false">
      <c r="A16" s="0" t="s">
        <v>261</v>
      </c>
      <c r="B16" s="0" t="s">
        <v>262</v>
      </c>
      <c r="C16" s="0" t="s">
        <v>45</v>
      </c>
      <c r="D16" s="0" t="s">
        <v>36</v>
      </c>
      <c r="E16" s="0" t="n">
        <v>17</v>
      </c>
      <c r="F16" s="0" t="n">
        <v>2008</v>
      </c>
      <c r="G16" s="0" t="n">
        <v>6</v>
      </c>
      <c r="H16" s="0" t="n">
        <v>17</v>
      </c>
      <c r="J16" s="0" t="n">
        <v>1.94</v>
      </c>
      <c r="K16" s="0" t="n">
        <v>79</v>
      </c>
      <c r="L16" s="0" t="n">
        <v>74</v>
      </c>
      <c r="M16" s="0" t="n">
        <v>74</v>
      </c>
      <c r="N16" s="0" t="n">
        <v>67</v>
      </c>
      <c r="O16" s="0" t="n">
        <v>60</v>
      </c>
      <c r="P16" s="0" t="n">
        <v>78</v>
      </c>
      <c r="Q16" s="0" t="n">
        <v>70</v>
      </c>
      <c r="R16" s="0" t="n">
        <v>71</v>
      </c>
      <c r="S16" s="0" t="n">
        <v>63</v>
      </c>
      <c r="T16" s="0" t="n">
        <v>56</v>
      </c>
      <c r="U16" s="0" t="n">
        <v>66</v>
      </c>
      <c r="V16" s="0" t="n">
        <v>61</v>
      </c>
      <c r="W16" s="0" t="n">
        <v>68</v>
      </c>
      <c r="X16" s="0" t="n">
        <v>63</v>
      </c>
      <c r="Y16" s="0" t="n">
        <v>63</v>
      </c>
      <c r="Z16" s="0" t="n">
        <v>82</v>
      </c>
      <c r="AA16" s="0" t="n">
        <v>77</v>
      </c>
      <c r="AB16" s="0" t="n">
        <v>73</v>
      </c>
      <c r="AC16" s="0" t="n">
        <v>66</v>
      </c>
      <c r="AD16" s="0" t="n">
        <v>66</v>
      </c>
      <c r="AE16" s="0" t="n">
        <v>5104</v>
      </c>
      <c r="AF16" s="0" t="n">
        <v>2001288</v>
      </c>
      <c r="AG16" s="0" t="n">
        <f aca="false">IF(ISNA(MATCH($C16,_Overall_Model!$A$2:$A$6,0)),"",ROUND(SUMPRODUCT(L16:AD16,INDEX(_Overall_Model!$B$2:$T$6,MATCH($C16,_Overall_Model!$A$2:$A$6,0),0))+INDEX(_Overall_Model!$U$2:$U$6,MATCH($C16,_Overall_Model!$A$2:$A$6,0))+INDEX(_Overall_Model!$V$2:$V$6,MATCH($C16,_Overall_Model!$A$2:$A$6,0))*IF(Q16&gt;=75,99,IF(Q16&gt;=60,50,0))+INDEX(_Overall_Model!$W$2:$W$6,MATCH($C16,_Overall_Model!$A$2:$A$6,0))*J16+INDEX(_Overall_Model!$X$2:$X$6,MATCH($C16,_Overall_Model!$A$2:$A$6,0))*K16,0))</f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G4" activeCellId="0" sqref="AG4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115</v>
      </c>
      <c r="B2" s="0" t="s">
        <v>263</v>
      </c>
      <c r="C2" s="0" t="s">
        <v>35</v>
      </c>
      <c r="D2" s="0" t="s">
        <v>36</v>
      </c>
      <c r="E2" s="0" t="n">
        <v>29</v>
      </c>
      <c r="F2" s="0" t="n">
        <v>2002</v>
      </c>
      <c r="G2" s="0" t="n">
        <v>4</v>
      </c>
      <c r="H2" s="0" t="n">
        <v>9</v>
      </c>
      <c r="J2" s="0" t="n">
        <v>1.89</v>
      </c>
      <c r="K2" s="0" t="n">
        <v>91</v>
      </c>
      <c r="L2" s="0" t="n">
        <v>83</v>
      </c>
      <c r="M2" s="0" t="n">
        <v>88</v>
      </c>
      <c r="N2" s="0" t="n">
        <v>67</v>
      </c>
      <c r="O2" s="0" t="n">
        <v>60</v>
      </c>
      <c r="P2" s="0" t="n">
        <v>94</v>
      </c>
      <c r="Q2" s="0" t="n">
        <v>67</v>
      </c>
      <c r="R2" s="0" t="n">
        <v>96</v>
      </c>
      <c r="S2" s="0" t="n">
        <v>93</v>
      </c>
      <c r="T2" s="0" t="n">
        <v>62</v>
      </c>
      <c r="U2" s="0" t="n">
        <v>57</v>
      </c>
      <c r="V2" s="0" t="n">
        <v>57</v>
      </c>
      <c r="W2" s="0" t="n">
        <v>99</v>
      </c>
      <c r="X2" s="0" t="n">
        <v>64</v>
      </c>
      <c r="Y2" s="0" t="n">
        <v>63</v>
      </c>
      <c r="Z2" s="0" t="n">
        <v>95</v>
      </c>
      <c r="AA2" s="0" t="n">
        <v>88</v>
      </c>
      <c r="AB2" s="0" t="n">
        <v>86</v>
      </c>
      <c r="AC2" s="0" t="n">
        <v>83</v>
      </c>
      <c r="AD2" s="0" t="n">
        <v>82</v>
      </c>
      <c r="AE2" s="0" t="n">
        <v>9010</v>
      </c>
      <c r="AF2" s="0" t="n">
        <v>1400013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90</v>
      </c>
    </row>
    <row r="3" customFormat="false" ht="15" hidden="false" customHeight="false" outlineLevel="0" collapsed="false">
      <c r="A3" s="0" t="s">
        <v>245</v>
      </c>
      <c r="B3" s="0" t="s">
        <v>264</v>
      </c>
      <c r="C3" s="0" t="s">
        <v>35</v>
      </c>
      <c r="D3" s="0" t="s">
        <v>36</v>
      </c>
      <c r="E3" s="0" t="n">
        <v>3</v>
      </c>
      <c r="F3" s="0" t="n">
        <v>1996</v>
      </c>
      <c r="G3" s="0" t="n">
        <v>10</v>
      </c>
      <c r="H3" s="0" t="n">
        <v>21</v>
      </c>
      <c r="J3" s="0" t="n">
        <v>1.91</v>
      </c>
      <c r="K3" s="0" t="n">
        <v>86</v>
      </c>
      <c r="L3" s="0" t="n">
        <v>81</v>
      </c>
      <c r="M3" s="0" t="n">
        <v>86</v>
      </c>
      <c r="N3" s="0" t="n">
        <v>67</v>
      </c>
      <c r="O3" s="0" t="n">
        <v>94</v>
      </c>
      <c r="P3" s="0" t="n">
        <v>92</v>
      </c>
      <c r="Q3" s="0" t="n">
        <v>65</v>
      </c>
      <c r="R3" s="0" t="n">
        <v>97</v>
      </c>
      <c r="S3" s="0" t="n">
        <v>96</v>
      </c>
      <c r="T3" s="0" t="n">
        <v>60</v>
      </c>
      <c r="U3" s="0" t="n">
        <v>55</v>
      </c>
      <c r="V3" s="0" t="n">
        <v>55</v>
      </c>
      <c r="W3" s="0" t="n">
        <v>98</v>
      </c>
      <c r="X3" s="0" t="n">
        <v>59</v>
      </c>
      <c r="Y3" s="0" t="n">
        <v>59</v>
      </c>
      <c r="Z3" s="0" t="n">
        <v>90</v>
      </c>
      <c r="AA3" s="0" t="n">
        <v>83</v>
      </c>
      <c r="AB3" s="0" t="n">
        <v>81</v>
      </c>
      <c r="AC3" s="0" t="n">
        <v>83</v>
      </c>
      <c r="AD3" s="0" t="n">
        <v>86</v>
      </c>
      <c r="AE3" s="0" t="n">
        <v>9023</v>
      </c>
      <c r="AF3" s="0" t="n">
        <v>2001528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90</v>
      </c>
    </row>
    <row r="4" customFormat="false" ht="15" hidden="false" customHeight="false" outlineLevel="0" collapsed="false">
      <c r="A4" s="0" t="s">
        <v>265</v>
      </c>
      <c r="B4" s="0" t="s">
        <v>266</v>
      </c>
      <c r="C4" s="0" t="s">
        <v>42</v>
      </c>
      <c r="D4" s="0" t="s">
        <v>36</v>
      </c>
      <c r="E4" s="0" t="n">
        <v>0</v>
      </c>
      <c r="F4" s="0" t="n">
        <v>2001</v>
      </c>
      <c r="G4" s="0" t="n">
        <v>9</v>
      </c>
      <c r="H4" s="0" t="n">
        <v>21</v>
      </c>
      <c r="J4" s="0" t="n">
        <v>1.88</v>
      </c>
      <c r="K4" s="0" t="n">
        <v>86</v>
      </c>
      <c r="L4" s="0" t="n">
        <v>83</v>
      </c>
      <c r="M4" s="0" t="n">
        <v>86</v>
      </c>
      <c r="N4" s="0" t="n">
        <v>95</v>
      </c>
      <c r="O4" s="0" t="n">
        <v>91</v>
      </c>
      <c r="P4" s="0" t="n">
        <v>90</v>
      </c>
      <c r="Q4" s="0" t="n">
        <v>68</v>
      </c>
      <c r="R4" s="0" t="n">
        <v>93</v>
      </c>
      <c r="S4" s="0" t="n">
        <v>80</v>
      </c>
      <c r="T4" s="0" t="n">
        <v>62</v>
      </c>
      <c r="U4" s="0" t="n">
        <v>60</v>
      </c>
      <c r="V4" s="0" t="n">
        <v>60</v>
      </c>
      <c r="W4" s="0" t="n">
        <v>81</v>
      </c>
      <c r="X4" s="0" t="n">
        <v>59</v>
      </c>
      <c r="Y4" s="0" t="n">
        <v>66</v>
      </c>
      <c r="Z4" s="0" t="n">
        <v>91</v>
      </c>
      <c r="AA4" s="0" t="n">
        <v>86</v>
      </c>
      <c r="AB4" s="0" t="n">
        <v>80</v>
      </c>
      <c r="AC4" s="0" t="n">
        <v>79</v>
      </c>
      <c r="AD4" s="0" t="n">
        <v>81</v>
      </c>
      <c r="AE4" s="0" t="n">
        <v>9063</v>
      </c>
      <c r="AF4" s="0" t="n">
        <v>2003953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87</v>
      </c>
    </row>
    <row r="5" customFormat="false" ht="15" hidden="false" customHeight="false" outlineLevel="0" collapsed="false">
      <c r="A5" s="0" t="s">
        <v>267</v>
      </c>
      <c r="B5" s="0" t="s">
        <v>268</v>
      </c>
      <c r="C5" s="0" t="s">
        <v>39</v>
      </c>
      <c r="D5" s="0" t="s">
        <v>36</v>
      </c>
      <c r="E5" s="0" t="n">
        <v>15</v>
      </c>
      <c r="F5" s="0" t="n">
        <v>1996</v>
      </c>
      <c r="G5" s="0" t="n">
        <v>1</v>
      </c>
      <c r="H5" s="0" t="n">
        <v>5</v>
      </c>
      <c r="J5" s="0" t="n">
        <v>2.03</v>
      </c>
      <c r="K5" s="0" t="n">
        <v>92</v>
      </c>
      <c r="L5" s="0" t="n">
        <v>84</v>
      </c>
      <c r="M5" s="0" t="n">
        <v>76</v>
      </c>
      <c r="N5" s="0" t="n">
        <v>84</v>
      </c>
      <c r="O5" s="0" t="n">
        <v>79</v>
      </c>
      <c r="P5" s="0" t="n">
        <v>81</v>
      </c>
      <c r="Q5" s="0" t="n">
        <v>81</v>
      </c>
      <c r="R5" s="0" t="n">
        <v>67</v>
      </c>
      <c r="S5" s="0" t="n">
        <v>71</v>
      </c>
      <c r="T5" s="0" t="n">
        <v>80</v>
      </c>
      <c r="U5" s="0" t="n">
        <v>83</v>
      </c>
      <c r="V5" s="0" t="n">
        <v>79</v>
      </c>
      <c r="W5" s="0" t="n">
        <v>69</v>
      </c>
      <c r="X5" s="0" t="n">
        <v>87</v>
      </c>
      <c r="Y5" s="0" t="n">
        <v>85</v>
      </c>
      <c r="Z5" s="0" t="n">
        <v>68</v>
      </c>
      <c r="AA5" s="0" t="n">
        <v>83</v>
      </c>
      <c r="AB5" s="0" t="n">
        <v>86</v>
      </c>
      <c r="AC5" s="0" t="n">
        <v>77</v>
      </c>
      <c r="AD5" s="0" t="n">
        <v>81</v>
      </c>
      <c r="AE5" s="0" t="n">
        <v>9049</v>
      </c>
      <c r="AF5" s="0" t="n">
        <v>2003786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83</v>
      </c>
    </row>
    <row r="6" customFormat="false" ht="15" hidden="false" customHeight="false" outlineLevel="0" collapsed="false">
      <c r="A6" s="0" t="s">
        <v>269</v>
      </c>
      <c r="B6" s="0" t="s">
        <v>270</v>
      </c>
      <c r="C6" s="0" t="s">
        <v>52</v>
      </c>
      <c r="D6" s="0" t="s">
        <v>36</v>
      </c>
      <c r="E6" s="0" t="n">
        <v>33</v>
      </c>
      <c r="F6" s="0" t="n">
        <v>1998</v>
      </c>
      <c r="G6" s="0" t="n">
        <v>11</v>
      </c>
      <c r="H6" s="0" t="n">
        <v>19</v>
      </c>
      <c r="J6" s="0" t="n">
        <v>2.11</v>
      </c>
      <c r="K6" s="0" t="n">
        <v>109</v>
      </c>
      <c r="L6" s="0" t="n">
        <v>92</v>
      </c>
      <c r="M6" s="0" t="n">
        <v>72</v>
      </c>
      <c r="N6" s="0" t="n">
        <v>60</v>
      </c>
      <c r="O6" s="0" t="n">
        <v>69</v>
      </c>
      <c r="P6" s="0" t="n">
        <v>83</v>
      </c>
      <c r="Q6" s="0" t="n">
        <v>88</v>
      </c>
      <c r="R6" s="0" t="n">
        <v>58</v>
      </c>
      <c r="S6" s="0" t="n">
        <v>61</v>
      </c>
      <c r="T6" s="0" t="n">
        <v>84</v>
      </c>
      <c r="U6" s="0" t="n">
        <v>99</v>
      </c>
      <c r="V6" s="0" t="n">
        <v>99</v>
      </c>
      <c r="W6" s="0" t="n">
        <v>63</v>
      </c>
      <c r="X6" s="0" t="n">
        <v>96</v>
      </c>
      <c r="Y6" s="0" t="n">
        <v>98</v>
      </c>
      <c r="Z6" s="0" t="n">
        <v>53</v>
      </c>
      <c r="AA6" s="0" t="n">
        <v>87</v>
      </c>
      <c r="AB6" s="0" t="n">
        <v>89</v>
      </c>
      <c r="AC6" s="0" t="n">
        <v>72</v>
      </c>
      <c r="AD6" s="0" t="n">
        <v>75</v>
      </c>
      <c r="AE6" s="0" t="n">
        <v>9064</v>
      </c>
      <c r="AF6" s="0" t="n">
        <v>2003954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91</v>
      </c>
    </row>
    <row r="7" customFormat="false" ht="15" hidden="false" customHeight="false" outlineLevel="0" collapsed="false">
      <c r="A7" s="0" t="s">
        <v>271</v>
      </c>
      <c r="B7" s="0" t="s">
        <v>272</v>
      </c>
      <c r="C7" s="0" t="s">
        <v>39</v>
      </c>
      <c r="D7" s="0" t="s">
        <v>36</v>
      </c>
      <c r="E7" s="0" t="n">
        <v>55</v>
      </c>
      <c r="F7" s="0" t="n">
        <v>2002</v>
      </c>
      <c r="G7" s="0" t="n">
        <v>7</v>
      </c>
      <c r="H7" s="0" t="n">
        <v>4</v>
      </c>
      <c r="J7" s="0" t="n">
        <v>2.01</v>
      </c>
      <c r="K7" s="0" t="n">
        <v>106</v>
      </c>
      <c r="L7" s="0" t="n">
        <v>95</v>
      </c>
      <c r="M7" s="0" t="n">
        <v>77</v>
      </c>
      <c r="N7" s="0" t="n">
        <v>80</v>
      </c>
      <c r="O7" s="0" t="n">
        <v>60</v>
      </c>
      <c r="P7" s="0" t="n">
        <v>92</v>
      </c>
      <c r="Q7" s="0" t="n">
        <v>81</v>
      </c>
      <c r="R7" s="0" t="n">
        <v>67</v>
      </c>
      <c r="S7" s="0" t="n">
        <v>71</v>
      </c>
      <c r="T7" s="0" t="n">
        <v>83</v>
      </c>
      <c r="U7" s="0" t="n">
        <v>87</v>
      </c>
      <c r="V7" s="0" t="n">
        <v>78</v>
      </c>
      <c r="W7" s="0" t="n">
        <v>68</v>
      </c>
      <c r="X7" s="0" t="n">
        <v>86</v>
      </c>
      <c r="Y7" s="0" t="n">
        <v>70</v>
      </c>
      <c r="Z7" s="0" t="n">
        <v>67</v>
      </c>
      <c r="AA7" s="0" t="n">
        <v>85</v>
      </c>
      <c r="AB7" s="0" t="n">
        <v>85</v>
      </c>
      <c r="AC7" s="0" t="n">
        <v>74</v>
      </c>
      <c r="AD7" s="0" t="n">
        <v>75</v>
      </c>
      <c r="AE7" s="0" t="n">
        <v>9188</v>
      </c>
      <c r="AF7" s="0" t="n">
        <v>2005080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82</v>
      </c>
    </row>
    <row r="8" customFormat="false" ht="15" hidden="false" customHeight="false" outlineLevel="0" collapsed="false">
      <c r="A8" s="0" t="s">
        <v>273</v>
      </c>
      <c r="B8" s="0" t="s">
        <v>274</v>
      </c>
      <c r="C8" s="0" t="s">
        <v>45</v>
      </c>
      <c r="D8" s="0" t="s">
        <v>36</v>
      </c>
      <c r="E8" s="0" t="n">
        <v>22</v>
      </c>
      <c r="F8" s="0" t="n">
        <v>2005</v>
      </c>
      <c r="G8" s="0" t="n">
        <v>6</v>
      </c>
      <c r="H8" s="0" t="n">
        <v>3</v>
      </c>
      <c r="J8" s="0" t="n">
        <v>2.02</v>
      </c>
      <c r="K8" s="0" t="n">
        <v>98</v>
      </c>
      <c r="L8" s="0" t="n">
        <v>84</v>
      </c>
      <c r="M8" s="0" t="n">
        <v>81</v>
      </c>
      <c r="N8" s="0" t="n">
        <v>74</v>
      </c>
      <c r="O8" s="0" t="n">
        <v>60</v>
      </c>
      <c r="P8" s="0" t="n">
        <v>88</v>
      </c>
      <c r="Q8" s="0" t="n">
        <v>77</v>
      </c>
      <c r="R8" s="0" t="n">
        <v>76</v>
      </c>
      <c r="S8" s="0" t="n">
        <v>70</v>
      </c>
      <c r="T8" s="0" t="n">
        <v>64</v>
      </c>
      <c r="U8" s="0" t="n">
        <v>75</v>
      </c>
      <c r="V8" s="0" t="n">
        <v>68</v>
      </c>
      <c r="W8" s="0" t="n">
        <v>75</v>
      </c>
      <c r="X8" s="0" t="n">
        <v>73</v>
      </c>
      <c r="Y8" s="0" t="n">
        <v>70</v>
      </c>
      <c r="Z8" s="0" t="n">
        <v>85</v>
      </c>
      <c r="AA8" s="0" t="n">
        <v>84</v>
      </c>
      <c r="AB8" s="0" t="n">
        <v>83</v>
      </c>
      <c r="AC8" s="0" t="n">
        <v>73</v>
      </c>
      <c r="AD8" s="0" t="n">
        <v>73</v>
      </c>
      <c r="AE8" s="0" t="n">
        <v>9088</v>
      </c>
      <c r="AF8" s="0" t="n">
        <v>2004146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79</v>
      </c>
    </row>
    <row r="9" customFormat="false" ht="15" hidden="false" customHeight="false" outlineLevel="0" collapsed="false">
      <c r="A9" s="0" t="s">
        <v>275</v>
      </c>
      <c r="B9" s="0" t="s">
        <v>276</v>
      </c>
      <c r="C9" s="0" t="s">
        <v>52</v>
      </c>
      <c r="D9" s="0" t="s">
        <v>36</v>
      </c>
      <c r="E9" s="0" t="n">
        <v>19</v>
      </c>
      <c r="F9" s="0" t="n">
        <v>2000</v>
      </c>
      <c r="G9" s="0" t="n">
        <v>1</v>
      </c>
      <c r="H9" s="0" t="n">
        <v>2</v>
      </c>
      <c r="J9" s="0" t="n">
        <v>2.04</v>
      </c>
      <c r="K9" s="0" t="n">
        <v>86</v>
      </c>
      <c r="L9" s="0" t="n">
        <v>97</v>
      </c>
      <c r="M9" s="0" t="n">
        <v>70</v>
      </c>
      <c r="N9" s="0" t="n">
        <v>60</v>
      </c>
      <c r="O9" s="0" t="n">
        <v>60</v>
      </c>
      <c r="P9" s="0" t="n">
        <v>88</v>
      </c>
      <c r="Q9" s="0" t="n">
        <v>85</v>
      </c>
      <c r="R9" s="0" t="n">
        <v>58</v>
      </c>
      <c r="S9" s="0" t="n">
        <v>61</v>
      </c>
      <c r="T9" s="0" t="n">
        <v>85</v>
      </c>
      <c r="U9" s="0" t="n">
        <v>87</v>
      </c>
      <c r="V9" s="0" t="n">
        <v>87</v>
      </c>
      <c r="W9" s="0" t="n">
        <v>63</v>
      </c>
      <c r="X9" s="0" t="n">
        <v>94</v>
      </c>
      <c r="Y9" s="0" t="n">
        <v>69</v>
      </c>
      <c r="Z9" s="0" t="n">
        <v>60</v>
      </c>
      <c r="AA9" s="0" t="n">
        <v>87</v>
      </c>
      <c r="AB9" s="0" t="n">
        <v>92</v>
      </c>
      <c r="AC9" s="0" t="n">
        <v>71</v>
      </c>
      <c r="AD9" s="0" t="n">
        <v>74</v>
      </c>
      <c r="AE9" s="0" t="n">
        <v>9050</v>
      </c>
      <c r="AF9" s="0" t="n">
        <v>2003787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83</v>
      </c>
    </row>
    <row r="10" customFormat="false" ht="15" hidden="false" customHeight="false" outlineLevel="0" collapsed="false">
      <c r="A10" s="0" t="s">
        <v>277</v>
      </c>
      <c r="B10" s="0" t="s">
        <v>278</v>
      </c>
      <c r="C10" s="0" t="s">
        <v>42</v>
      </c>
      <c r="D10" s="0" t="s">
        <v>36</v>
      </c>
      <c r="E10" s="0" t="n">
        <v>11</v>
      </c>
      <c r="F10" s="0" t="n">
        <v>1999</v>
      </c>
      <c r="G10" s="0" t="n">
        <v>4</v>
      </c>
      <c r="H10" s="0" t="n">
        <v>20</v>
      </c>
      <c r="J10" s="0" t="n">
        <v>1.93</v>
      </c>
      <c r="K10" s="0" t="n">
        <v>88</v>
      </c>
      <c r="L10" s="0" t="n">
        <v>79</v>
      </c>
      <c r="M10" s="0" t="n">
        <v>82</v>
      </c>
      <c r="N10" s="0" t="n">
        <v>91</v>
      </c>
      <c r="O10" s="0" t="n">
        <v>89</v>
      </c>
      <c r="P10" s="0" t="n">
        <v>83</v>
      </c>
      <c r="Q10" s="0" t="n">
        <v>67</v>
      </c>
      <c r="R10" s="0" t="n">
        <v>87</v>
      </c>
      <c r="S10" s="0" t="n">
        <v>75</v>
      </c>
      <c r="T10" s="0" t="n">
        <v>59</v>
      </c>
      <c r="U10" s="0" t="n">
        <v>62</v>
      </c>
      <c r="V10" s="0" t="n">
        <v>62</v>
      </c>
      <c r="W10" s="0" t="n">
        <v>79</v>
      </c>
      <c r="X10" s="0" t="n">
        <v>57</v>
      </c>
      <c r="Y10" s="0" t="n">
        <v>62</v>
      </c>
      <c r="Z10" s="0" t="n">
        <v>87</v>
      </c>
      <c r="AA10" s="0" t="n">
        <v>84</v>
      </c>
      <c r="AB10" s="0" t="n">
        <v>78</v>
      </c>
      <c r="AC10" s="0" t="n">
        <v>76</v>
      </c>
      <c r="AD10" s="0" t="n">
        <v>78</v>
      </c>
      <c r="AE10" s="0" t="n">
        <v>9002</v>
      </c>
      <c r="AF10" s="0" t="n">
        <v>1000853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83</v>
      </c>
    </row>
    <row r="11" customFormat="false" ht="15" hidden="false" customHeight="false" outlineLevel="0" collapsed="false">
      <c r="A11" s="0" t="s">
        <v>279</v>
      </c>
      <c r="B11" s="0" t="s">
        <v>280</v>
      </c>
      <c r="C11" s="0" t="s">
        <v>39</v>
      </c>
      <c r="D11" s="0" t="s">
        <v>36</v>
      </c>
      <c r="E11" s="0" t="n">
        <v>21</v>
      </c>
      <c r="F11" s="0" t="n">
        <v>2001</v>
      </c>
      <c r="G11" s="0" t="n">
        <v>11</v>
      </c>
      <c r="H11" s="0" t="n">
        <v>21</v>
      </c>
      <c r="J11" s="0" t="n">
        <v>1.96</v>
      </c>
      <c r="K11" s="0" t="n">
        <v>98</v>
      </c>
      <c r="L11" s="0" t="n">
        <v>82</v>
      </c>
      <c r="M11" s="0" t="n">
        <v>74</v>
      </c>
      <c r="N11" s="0" t="n">
        <v>77</v>
      </c>
      <c r="O11" s="0" t="n">
        <v>60</v>
      </c>
      <c r="P11" s="0" t="n">
        <v>79</v>
      </c>
      <c r="Q11" s="0" t="n">
        <v>79</v>
      </c>
      <c r="R11" s="0" t="n">
        <v>67</v>
      </c>
      <c r="S11" s="0" t="n">
        <v>67</v>
      </c>
      <c r="T11" s="0" t="n">
        <v>78</v>
      </c>
      <c r="U11" s="0" t="n">
        <v>83</v>
      </c>
      <c r="V11" s="0" t="n">
        <v>77</v>
      </c>
      <c r="W11" s="0" t="n">
        <v>67</v>
      </c>
      <c r="X11" s="0" t="n">
        <v>88</v>
      </c>
      <c r="Y11" s="0" t="n">
        <v>88</v>
      </c>
      <c r="Z11" s="0" t="n">
        <v>71</v>
      </c>
      <c r="AA11" s="0" t="n">
        <v>84</v>
      </c>
      <c r="AB11" s="0" t="n">
        <v>87</v>
      </c>
      <c r="AC11" s="0" t="n">
        <v>74</v>
      </c>
      <c r="AD11" s="0" t="n">
        <v>74</v>
      </c>
      <c r="AE11" s="0" t="n">
        <v>9051</v>
      </c>
      <c r="AF11" s="0" t="n">
        <v>2003788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80</v>
      </c>
    </row>
    <row r="12" customFormat="false" ht="15" hidden="false" customHeight="false" outlineLevel="0" collapsed="false">
      <c r="A12" s="0" t="s">
        <v>230</v>
      </c>
      <c r="B12" s="0" t="s">
        <v>281</v>
      </c>
      <c r="C12" s="0" t="s">
        <v>39</v>
      </c>
      <c r="D12" s="0" t="s">
        <v>36</v>
      </c>
      <c r="E12" s="0" t="n">
        <v>9</v>
      </c>
      <c r="F12" s="0" t="n">
        <v>1994</v>
      </c>
      <c r="G12" s="0" t="n">
        <v>2</v>
      </c>
      <c r="H12" s="0" t="n">
        <v>18</v>
      </c>
      <c r="J12" s="0" t="n">
        <v>2.03</v>
      </c>
      <c r="K12" s="0" t="n">
        <v>94</v>
      </c>
      <c r="L12" s="0" t="n">
        <v>81</v>
      </c>
      <c r="M12" s="0" t="n">
        <v>73</v>
      </c>
      <c r="N12" s="0" t="n">
        <v>76</v>
      </c>
      <c r="O12" s="0" t="n">
        <v>69</v>
      </c>
      <c r="P12" s="0" t="n">
        <v>78</v>
      </c>
      <c r="Q12" s="0" t="n">
        <v>78</v>
      </c>
      <c r="R12" s="0" t="n">
        <v>64</v>
      </c>
      <c r="S12" s="0" t="n">
        <v>68</v>
      </c>
      <c r="T12" s="0" t="n">
        <v>77</v>
      </c>
      <c r="U12" s="0" t="n">
        <v>80</v>
      </c>
      <c r="V12" s="0" t="n">
        <v>76</v>
      </c>
      <c r="W12" s="0" t="n">
        <v>66</v>
      </c>
      <c r="X12" s="0" t="n">
        <v>84</v>
      </c>
      <c r="Y12" s="0" t="n">
        <v>82</v>
      </c>
      <c r="Z12" s="0" t="n">
        <v>65</v>
      </c>
      <c r="AA12" s="0" t="n">
        <v>80</v>
      </c>
      <c r="AB12" s="0" t="n">
        <v>83</v>
      </c>
      <c r="AC12" s="0" t="n">
        <v>74</v>
      </c>
      <c r="AD12" s="0" t="n">
        <v>78</v>
      </c>
      <c r="AE12" s="0" t="n">
        <v>9000</v>
      </c>
      <c r="AF12" s="0" t="n">
        <v>56380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79</v>
      </c>
    </row>
    <row r="13" customFormat="false" ht="15" hidden="false" customHeight="false" outlineLevel="0" collapsed="false">
      <c r="A13" s="0" t="s">
        <v>282</v>
      </c>
      <c r="B13" s="0" t="s">
        <v>283</v>
      </c>
      <c r="C13" s="0" t="s">
        <v>45</v>
      </c>
      <c r="D13" s="0" t="s">
        <v>36</v>
      </c>
      <c r="E13" s="0" t="n">
        <v>2</v>
      </c>
      <c r="F13" s="0" t="n">
        <v>1994</v>
      </c>
      <c r="G13" s="0" t="n">
        <v>2</v>
      </c>
      <c r="H13" s="0" t="n">
        <v>2</v>
      </c>
      <c r="J13" s="0" t="n">
        <v>1.96</v>
      </c>
      <c r="K13" s="0" t="n">
        <v>85</v>
      </c>
      <c r="L13" s="0" t="n">
        <v>77</v>
      </c>
      <c r="M13" s="0" t="n">
        <v>77</v>
      </c>
      <c r="N13" s="0" t="n">
        <v>70</v>
      </c>
      <c r="O13" s="0" t="n">
        <v>82</v>
      </c>
      <c r="P13" s="0" t="n">
        <v>81</v>
      </c>
      <c r="Q13" s="0" t="n">
        <v>71</v>
      </c>
      <c r="R13" s="0" t="n">
        <v>74</v>
      </c>
      <c r="S13" s="0" t="n">
        <v>70</v>
      </c>
      <c r="T13" s="0" t="n">
        <v>59</v>
      </c>
      <c r="U13" s="0" t="n">
        <v>69</v>
      </c>
      <c r="V13" s="0" t="n">
        <v>64</v>
      </c>
      <c r="W13" s="0" t="n">
        <v>71</v>
      </c>
      <c r="X13" s="0" t="n">
        <v>66</v>
      </c>
      <c r="Y13" s="0" t="n">
        <v>66</v>
      </c>
      <c r="Z13" s="0" t="n">
        <v>76</v>
      </c>
      <c r="AA13" s="0" t="n">
        <v>77</v>
      </c>
      <c r="AB13" s="0" t="n">
        <v>76</v>
      </c>
      <c r="AC13" s="0" t="n">
        <v>76</v>
      </c>
      <c r="AD13" s="0" t="n">
        <v>80</v>
      </c>
      <c r="AE13" s="0" t="n">
        <v>9001</v>
      </c>
      <c r="AF13" s="0" t="n">
        <v>56479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76</v>
      </c>
    </row>
    <row r="14" customFormat="false" ht="15" hidden="false" customHeight="false" outlineLevel="0" collapsed="false">
      <c r="A14" s="0" t="s">
        <v>284</v>
      </c>
      <c r="B14" s="0" t="s">
        <v>285</v>
      </c>
      <c r="C14" s="0" t="s">
        <v>39</v>
      </c>
      <c r="D14" s="0" t="s">
        <v>36</v>
      </c>
      <c r="E14" s="0" t="n">
        <v>12</v>
      </c>
      <c r="F14" s="0" t="n">
        <v>2006</v>
      </c>
      <c r="G14" s="0" t="n">
        <v>2</v>
      </c>
      <c r="H14" s="0" t="n">
        <v>18</v>
      </c>
      <c r="J14" s="0" t="n">
        <v>2.06</v>
      </c>
      <c r="K14" s="0" t="n">
        <v>101</v>
      </c>
      <c r="L14" s="0" t="n">
        <v>79</v>
      </c>
      <c r="M14" s="0" t="n">
        <v>71</v>
      </c>
      <c r="N14" s="0" t="n">
        <v>67</v>
      </c>
      <c r="O14" s="0" t="n">
        <v>69</v>
      </c>
      <c r="P14" s="0" t="n">
        <v>76</v>
      </c>
      <c r="Q14" s="0" t="n">
        <v>78</v>
      </c>
      <c r="R14" s="0" t="n">
        <v>62</v>
      </c>
      <c r="S14" s="0" t="n">
        <v>62</v>
      </c>
      <c r="T14" s="0" t="n">
        <v>75</v>
      </c>
      <c r="U14" s="0" t="n">
        <v>82</v>
      </c>
      <c r="V14" s="0" t="n">
        <v>77</v>
      </c>
      <c r="W14" s="0" t="n">
        <v>64</v>
      </c>
      <c r="X14" s="0" t="n">
        <v>85</v>
      </c>
      <c r="Y14" s="0" t="n">
        <v>83</v>
      </c>
      <c r="Z14" s="0" t="n">
        <v>70</v>
      </c>
      <c r="AA14" s="0" t="n">
        <v>81</v>
      </c>
      <c r="AB14" s="0" t="n">
        <v>84</v>
      </c>
      <c r="AC14" s="0" t="n">
        <v>65</v>
      </c>
      <c r="AD14" s="0" t="n">
        <v>65</v>
      </c>
      <c r="AE14" s="0" t="n">
        <v>9133</v>
      </c>
      <c r="AF14" s="0" t="n">
        <v>2004391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77</v>
      </c>
    </row>
    <row r="15" customFormat="false" ht="15" hidden="false" customHeight="false" outlineLevel="0" collapsed="false">
      <c r="A15" s="0" t="s">
        <v>91</v>
      </c>
      <c r="B15" s="0" t="s">
        <v>286</v>
      </c>
      <c r="C15" s="0" t="s">
        <v>42</v>
      </c>
      <c r="D15" s="0" t="s">
        <v>36</v>
      </c>
      <c r="E15" s="0" t="n">
        <v>8</v>
      </c>
      <c r="F15" s="0" t="n">
        <v>2006</v>
      </c>
      <c r="G15" s="0" t="n">
        <v>4</v>
      </c>
      <c r="H15" s="0" t="n">
        <v>28</v>
      </c>
      <c r="J15" s="0" t="n">
        <v>1.99</v>
      </c>
      <c r="K15" s="0" t="n">
        <v>86</v>
      </c>
      <c r="L15" s="0" t="n">
        <v>73</v>
      </c>
      <c r="M15" s="0" t="n">
        <v>76</v>
      </c>
      <c r="N15" s="0" t="n">
        <v>78</v>
      </c>
      <c r="O15" s="0" t="n">
        <v>78</v>
      </c>
      <c r="P15" s="0" t="n">
        <v>77</v>
      </c>
      <c r="Q15" s="0" t="n">
        <v>63</v>
      </c>
      <c r="R15" s="0" t="n">
        <v>77</v>
      </c>
      <c r="S15" s="0" t="n">
        <v>66</v>
      </c>
      <c r="T15" s="0" t="n">
        <v>53</v>
      </c>
      <c r="U15" s="0" t="n">
        <v>56</v>
      </c>
      <c r="V15" s="0" t="n">
        <v>56</v>
      </c>
      <c r="W15" s="0" t="n">
        <v>73</v>
      </c>
      <c r="X15" s="0" t="n">
        <v>51</v>
      </c>
      <c r="Y15" s="0" t="n">
        <v>56</v>
      </c>
      <c r="Z15" s="0" t="n">
        <v>85</v>
      </c>
      <c r="AA15" s="0" t="n">
        <v>78</v>
      </c>
      <c r="AB15" s="0" t="n">
        <v>72</v>
      </c>
      <c r="AC15" s="0" t="n">
        <v>66</v>
      </c>
      <c r="AD15" s="0" t="n">
        <v>66</v>
      </c>
      <c r="AE15" s="0" t="n">
        <v>9072</v>
      </c>
      <c r="AF15" s="0" t="n">
        <v>2004007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74</v>
      </c>
    </row>
    <row r="16" customFormat="false" ht="15" hidden="false" customHeight="false" outlineLevel="0" collapsed="false">
      <c r="A16" s="0" t="s">
        <v>217</v>
      </c>
      <c r="B16" s="0" t="s">
        <v>287</v>
      </c>
      <c r="C16" s="0" t="s">
        <v>42</v>
      </c>
      <c r="D16" s="0" t="s">
        <v>36</v>
      </c>
      <c r="E16" s="0" t="n">
        <v>10</v>
      </c>
      <c r="F16" s="0" t="n">
        <v>2005</v>
      </c>
      <c r="G16" s="0" t="n">
        <v>2</v>
      </c>
      <c r="H16" s="0" t="n">
        <v>15</v>
      </c>
      <c r="J16" s="0" t="n">
        <v>1.96</v>
      </c>
      <c r="K16" s="0" t="n">
        <v>86</v>
      </c>
      <c r="L16" s="0" t="n">
        <v>72</v>
      </c>
      <c r="M16" s="0" t="n">
        <v>75</v>
      </c>
      <c r="N16" s="0" t="n">
        <v>77</v>
      </c>
      <c r="O16" s="0" t="n">
        <v>77</v>
      </c>
      <c r="P16" s="0" t="n">
        <v>76</v>
      </c>
      <c r="Q16" s="0" t="n">
        <v>62</v>
      </c>
      <c r="R16" s="0" t="n">
        <v>76</v>
      </c>
      <c r="S16" s="0" t="n">
        <v>65</v>
      </c>
      <c r="T16" s="0" t="n">
        <v>52</v>
      </c>
      <c r="U16" s="0" t="n">
        <v>55</v>
      </c>
      <c r="V16" s="0" t="n">
        <v>55</v>
      </c>
      <c r="W16" s="0" t="n">
        <v>72</v>
      </c>
      <c r="X16" s="0" t="n">
        <v>50</v>
      </c>
      <c r="Y16" s="0" t="n">
        <v>55</v>
      </c>
      <c r="Z16" s="0" t="n">
        <v>84</v>
      </c>
      <c r="AA16" s="0" t="n">
        <v>77</v>
      </c>
      <c r="AB16" s="0" t="n">
        <v>71</v>
      </c>
      <c r="AC16" s="0" t="n">
        <v>65</v>
      </c>
      <c r="AD16" s="0" t="n">
        <v>65</v>
      </c>
      <c r="AE16" s="0" t="n">
        <v>9132</v>
      </c>
      <c r="AF16" s="0" t="n">
        <v>2004390</v>
      </c>
      <c r="AG16" s="0" t="n">
        <f aca="false">IF(ISNA(MATCH($C16,_Overall_Model!$A$2:$A$6,0)),"",ROUND(SUMPRODUCT(L16:AD16,INDEX(_Overall_Model!$B$2:$T$6,MATCH($C16,_Overall_Model!$A$2:$A$6,0),0))+INDEX(_Overall_Model!$U$2:$U$6,MATCH($C16,_Overall_Model!$A$2:$A$6,0))+INDEX(_Overall_Model!$V$2:$V$6,MATCH($C16,_Overall_Model!$A$2:$A$6,0))*IF(Q16&gt;=75,99,IF(Q16&gt;=60,50,0))+INDEX(_Overall_Model!$W$2:$W$6,MATCH($C16,_Overall_Model!$A$2:$A$6,0))*J16+INDEX(_Overall_Model!$X$2:$X$6,MATCH($C16,_Overall_Model!$A$2:$A$6,0))*K16,0))</f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48576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P3" activeCellId="0" sqref="P3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288</v>
      </c>
      <c r="B2" s="0" t="s">
        <v>289</v>
      </c>
      <c r="C2" s="0" t="s">
        <v>42</v>
      </c>
      <c r="D2" s="0" t="s">
        <v>36</v>
      </c>
      <c r="E2" s="0" t="n">
        <v>33</v>
      </c>
      <c r="F2" s="0" t="n">
        <v>2002</v>
      </c>
      <c r="G2" s="0" t="n">
        <v>4</v>
      </c>
      <c r="H2" s="0" t="n">
        <v>11</v>
      </c>
      <c r="J2" s="0" t="n">
        <v>1.96</v>
      </c>
      <c r="K2" s="0" t="n">
        <v>96</v>
      </c>
      <c r="L2" s="0" t="n">
        <v>90</v>
      </c>
      <c r="M2" s="0" t="n">
        <v>90</v>
      </c>
      <c r="N2" s="0" t="n">
        <v>90</v>
      </c>
      <c r="O2" s="0" t="n">
        <v>60</v>
      </c>
      <c r="P2" s="0" t="n">
        <v>94</v>
      </c>
      <c r="Q2" s="0" t="n">
        <v>73</v>
      </c>
      <c r="R2" s="0" t="n">
        <v>85</v>
      </c>
      <c r="S2" s="0" t="n">
        <v>82</v>
      </c>
      <c r="T2" s="0" t="n">
        <v>67</v>
      </c>
      <c r="U2" s="0" t="n">
        <v>68</v>
      </c>
      <c r="V2" s="0" t="n">
        <v>66</v>
      </c>
      <c r="W2" s="0" t="n">
        <v>81</v>
      </c>
      <c r="X2" s="0" t="n">
        <v>61</v>
      </c>
      <c r="Y2" s="0" t="n">
        <v>71</v>
      </c>
      <c r="Z2" s="0" t="n">
        <v>86</v>
      </c>
      <c r="AA2" s="0" t="n">
        <v>88</v>
      </c>
      <c r="AB2" s="0" t="n">
        <v>82</v>
      </c>
      <c r="AC2" s="0" t="n">
        <v>83</v>
      </c>
      <c r="AD2" s="0" t="n">
        <v>85</v>
      </c>
      <c r="AE2" s="0" t="n">
        <v>9086</v>
      </c>
      <c r="AF2" s="0" t="n">
        <v>2004101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88</v>
      </c>
    </row>
    <row r="3" customFormat="false" ht="15" hidden="false" customHeight="false" outlineLevel="0" collapsed="false">
      <c r="A3" s="0" t="s">
        <v>290</v>
      </c>
      <c r="B3" s="0" t="s">
        <v>291</v>
      </c>
      <c r="C3" s="0" t="s">
        <v>35</v>
      </c>
      <c r="D3" s="0" t="s">
        <v>36</v>
      </c>
      <c r="E3" s="0" t="n">
        <v>4</v>
      </c>
      <c r="F3" s="0" t="n">
        <v>2002</v>
      </c>
      <c r="G3" s="0" t="n">
        <v>4</v>
      </c>
      <c r="H3" s="0" t="n">
        <v>4</v>
      </c>
      <c r="J3" s="0" t="n">
        <v>1.9</v>
      </c>
      <c r="K3" s="0" t="n">
        <v>84</v>
      </c>
      <c r="L3" s="0" t="n">
        <v>81</v>
      </c>
      <c r="M3" s="0" t="n">
        <v>86</v>
      </c>
      <c r="N3" s="0" t="n">
        <v>78</v>
      </c>
      <c r="O3" s="0" t="n">
        <v>69</v>
      </c>
      <c r="P3" s="0" t="n">
        <v>92</v>
      </c>
      <c r="Q3" s="0" t="n">
        <v>61</v>
      </c>
      <c r="R3" s="0" t="n">
        <v>93</v>
      </c>
      <c r="S3" s="0" t="n">
        <v>75</v>
      </c>
      <c r="T3" s="0" t="n">
        <v>60</v>
      </c>
      <c r="U3" s="0" t="n">
        <v>55</v>
      </c>
      <c r="V3" s="0" t="n">
        <v>55</v>
      </c>
      <c r="W3" s="0" t="n">
        <v>91</v>
      </c>
      <c r="X3" s="0" t="n">
        <v>59</v>
      </c>
      <c r="Y3" s="0" t="n">
        <v>59</v>
      </c>
      <c r="Z3" s="0" t="n">
        <v>95</v>
      </c>
      <c r="AA3" s="0" t="n">
        <v>86</v>
      </c>
      <c r="AB3" s="0" t="n">
        <v>81</v>
      </c>
      <c r="AC3" s="0" t="n">
        <v>78</v>
      </c>
      <c r="AD3" s="0" t="n">
        <v>79</v>
      </c>
      <c r="AE3" s="0" t="n">
        <v>9138</v>
      </c>
      <c r="AF3" s="0" t="n">
        <v>2004435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85</v>
      </c>
    </row>
    <row r="4" customFormat="false" ht="15" hidden="false" customHeight="false" outlineLevel="0" collapsed="false">
      <c r="A4" s="0" t="s">
        <v>292</v>
      </c>
      <c r="B4" s="0" t="s">
        <v>293</v>
      </c>
      <c r="C4" s="0" t="s">
        <v>45</v>
      </c>
      <c r="D4" s="0" t="s">
        <v>36</v>
      </c>
      <c r="E4" s="0" t="n">
        <v>37</v>
      </c>
      <c r="F4" s="0" t="n">
        <v>2006</v>
      </c>
      <c r="G4" s="0" t="n">
        <v>2</v>
      </c>
      <c r="H4" s="0" t="n">
        <v>10</v>
      </c>
      <c r="J4" s="0" t="n">
        <v>1.98</v>
      </c>
      <c r="K4" s="0" t="n">
        <v>94</v>
      </c>
      <c r="L4" s="0" t="n">
        <v>81</v>
      </c>
      <c r="M4" s="0" t="n">
        <v>72</v>
      </c>
      <c r="N4" s="0" t="n">
        <v>67</v>
      </c>
      <c r="O4" s="0" t="n">
        <v>78</v>
      </c>
      <c r="P4" s="0" t="n">
        <v>81</v>
      </c>
      <c r="Q4" s="0" t="n">
        <v>77</v>
      </c>
      <c r="R4" s="0" t="n">
        <v>71</v>
      </c>
      <c r="S4" s="0" t="n">
        <v>66</v>
      </c>
      <c r="T4" s="0" t="n">
        <v>63</v>
      </c>
      <c r="U4" s="0" t="n">
        <v>73</v>
      </c>
      <c r="V4" s="0" t="n">
        <v>68</v>
      </c>
      <c r="W4" s="0" t="n">
        <v>78</v>
      </c>
      <c r="X4" s="0" t="n">
        <v>70</v>
      </c>
      <c r="Y4" s="0" t="n">
        <v>69</v>
      </c>
      <c r="Z4" s="0" t="n">
        <v>87</v>
      </c>
      <c r="AA4" s="0" t="n">
        <v>84</v>
      </c>
      <c r="AB4" s="0" t="n">
        <v>80</v>
      </c>
      <c r="AC4" s="0" t="n">
        <v>75</v>
      </c>
      <c r="AD4" s="0" t="n">
        <v>72</v>
      </c>
      <c r="AE4" s="0" t="n">
        <v>9068</v>
      </c>
      <c r="AF4" s="0" t="n">
        <v>2003982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76</v>
      </c>
    </row>
    <row r="5" customFormat="false" ht="15" hidden="false" customHeight="false" outlineLevel="0" collapsed="false">
      <c r="A5" s="0" t="s">
        <v>294</v>
      </c>
      <c r="B5" s="0" t="s">
        <v>295</v>
      </c>
      <c r="C5" s="0" t="s">
        <v>39</v>
      </c>
      <c r="D5" s="0" t="s">
        <v>36</v>
      </c>
      <c r="E5" s="0" t="n">
        <v>10</v>
      </c>
      <c r="F5" s="0" t="n">
        <v>2002</v>
      </c>
      <c r="G5" s="0" t="n">
        <v>7</v>
      </c>
      <c r="H5" s="0" t="n">
        <v>5</v>
      </c>
      <c r="J5" s="0" t="n">
        <v>2.06</v>
      </c>
      <c r="K5" s="0" t="n">
        <v>98</v>
      </c>
      <c r="L5" s="0" t="n">
        <v>83</v>
      </c>
      <c r="M5" s="0" t="n">
        <v>90</v>
      </c>
      <c r="N5" s="0" t="n">
        <v>82</v>
      </c>
      <c r="O5" s="0" t="n">
        <v>82</v>
      </c>
      <c r="P5" s="0" t="n">
        <v>85</v>
      </c>
      <c r="Q5" s="0" t="n">
        <v>80</v>
      </c>
      <c r="R5" s="0" t="n">
        <v>72</v>
      </c>
      <c r="S5" s="0" t="n">
        <v>68</v>
      </c>
      <c r="T5" s="0" t="n">
        <v>81</v>
      </c>
      <c r="U5" s="0" t="n">
        <v>70</v>
      </c>
      <c r="V5" s="0" t="n">
        <v>81</v>
      </c>
      <c r="W5" s="0" t="n">
        <v>68</v>
      </c>
      <c r="X5" s="0" t="n">
        <v>78</v>
      </c>
      <c r="Y5" s="0" t="n">
        <v>75</v>
      </c>
      <c r="Z5" s="0" t="n">
        <v>70</v>
      </c>
      <c r="AA5" s="0" t="n">
        <v>85</v>
      </c>
      <c r="AB5" s="0" t="n">
        <v>85</v>
      </c>
      <c r="AC5" s="0" t="n">
        <v>74</v>
      </c>
      <c r="AD5" s="0" t="n">
        <v>75</v>
      </c>
      <c r="AE5" s="0" t="n">
        <v>9083</v>
      </c>
      <c r="AF5" s="0" t="n">
        <v>2004046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82</v>
      </c>
    </row>
    <row r="6" customFormat="false" ht="15" hidden="false" customHeight="false" outlineLevel="0" collapsed="false">
      <c r="A6" s="0" t="s">
        <v>296</v>
      </c>
      <c r="B6" s="0" t="s">
        <v>297</v>
      </c>
      <c r="C6" s="0" t="s">
        <v>35</v>
      </c>
      <c r="D6" s="0" t="s">
        <v>36</v>
      </c>
      <c r="E6" s="0" t="n">
        <v>5</v>
      </c>
      <c r="F6" s="0" t="n">
        <v>2000</v>
      </c>
      <c r="G6" s="0" t="n">
        <v>9</v>
      </c>
      <c r="H6" s="0" t="n">
        <v>3</v>
      </c>
      <c r="J6" s="0" t="n">
        <v>1.82</v>
      </c>
      <c r="K6" s="0" t="n">
        <v>84</v>
      </c>
      <c r="L6" s="0" t="n">
        <v>78</v>
      </c>
      <c r="M6" s="0" t="n">
        <v>83</v>
      </c>
      <c r="N6" s="0" t="n">
        <v>70</v>
      </c>
      <c r="O6" s="0" t="n">
        <v>85</v>
      </c>
      <c r="P6" s="0" t="n">
        <v>80</v>
      </c>
      <c r="Q6" s="0" t="n">
        <v>62</v>
      </c>
      <c r="R6" s="0" t="n">
        <v>85</v>
      </c>
      <c r="S6" s="0" t="n">
        <v>80</v>
      </c>
      <c r="T6" s="0" t="n">
        <v>58</v>
      </c>
      <c r="U6" s="0" t="n">
        <v>52</v>
      </c>
      <c r="V6" s="0" t="n">
        <v>52</v>
      </c>
      <c r="W6" s="0" t="n">
        <v>80</v>
      </c>
      <c r="X6" s="0" t="n">
        <v>58</v>
      </c>
      <c r="Y6" s="0" t="n">
        <v>58</v>
      </c>
      <c r="Z6" s="0" t="n">
        <v>81</v>
      </c>
      <c r="AA6" s="0" t="n">
        <v>85</v>
      </c>
      <c r="AB6" s="0" t="n">
        <v>80</v>
      </c>
      <c r="AC6" s="0" t="n">
        <v>77</v>
      </c>
      <c r="AD6" s="0" t="n">
        <v>79</v>
      </c>
      <c r="AE6" s="0" t="n">
        <v>5008</v>
      </c>
      <c r="AF6" s="0" t="n">
        <v>5469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80</v>
      </c>
    </row>
    <row r="7" customFormat="false" ht="15" hidden="false" customHeight="false" outlineLevel="0" collapsed="false">
      <c r="A7" s="0" t="s">
        <v>298</v>
      </c>
      <c r="B7" s="0" t="s">
        <v>299</v>
      </c>
      <c r="C7" s="0" t="s">
        <v>52</v>
      </c>
      <c r="D7" s="0" t="s">
        <v>36</v>
      </c>
      <c r="E7" s="0" t="n">
        <v>21</v>
      </c>
      <c r="F7" s="0" t="n">
        <v>2005</v>
      </c>
      <c r="G7" s="0" t="n">
        <v>4</v>
      </c>
      <c r="H7" s="0" t="n">
        <v>18</v>
      </c>
      <c r="J7" s="0" t="n">
        <v>2.08</v>
      </c>
      <c r="K7" s="0" t="n">
        <v>100</v>
      </c>
      <c r="L7" s="0" t="n">
        <v>85</v>
      </c>
      <c r="M7" s="0" t="n">
        <v>68</v>
      </c>
      <c r="N7" s="0" t="n">
        <v>56</v>
      </c>
      <c r="O7" s="0" t="n">
        <v>60</v>
      </c>
      <c r="P7" s="0" t="n">
        <v>76</v>
      </c>
      <c r="Q7" s="0" t="n">
        <v>85</v>
      </c>
      <c r="R7" s="0" t="n">
        <v>56</v>
      </c>
      <c r="S7" s="0" t="n">
        <v>57</v>
      </c>
      <c r="T7" s="0" t="n">
        <v>80</v>
      </c>
      <c r="U7" s="0" t="n">
        <v>89</v>
      </c>
      <c r="V7" s="0" t="n">
        <v>88</v>
      </c>
      <c r="W7" s="0" t="n">
        <v>61</v>
      </c>
      <c r="X7" s="0" t="n">
        <v>89</v>
      </c>
      <c r="Y7" s="0" t="n">
        <v>73</v>
      </c>
      <c r="Z7" s="0" t="n">
        <v>62</v>
      </c>
      <c r="AA7" s="0" t="n">
        <v>85</v>
      </c>
      <c r="AB7" s="0" t="n">
        <v>87</v>
      </c>
      <c r="AC7" s="0" t="n">
        <v>65</v>
      </c>
      <c r="AD7" s="0" t="n">
        <v>66</v>
      </c>
      <c r="AE7" s="0" t="n">
        <v>9067</v>
      </c>
      <c r="AF7" s="0" t="n">
        <v>2003981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80</v>
      </c>
    </row>
    <row r="8" customFormat="false" ht="15" hidden="false" customHeight="false" outlineLevel="0" collapsed="false">
      <c r="A8" s="0" t="s">
        <v>300</v>
      </c>
      <c r="B8" s="0" t="s">
        <v>301</v>
      </c>
      <c r="C8" s="0" t="s">
        <v>52</v>
      </c>
      <c r="D8" s="0" t="s">
        <v>36</v>
      </c>
      <c r="E8" s="0" t="n">
        <v>44</v>
      </c>
      <c r="F8" s="0" t="n">
        <v>1998</v>
      </c>
      <c r="G8" s="0" t="n">
        <v>3</v>
      </c>
      <c r="H8" s="0" t="n">
        <v>28</v>
      </c>
      <c r="J8" s="0" t="n">
        <v>2.07</v>
      </c>
      <c r="K8" s="0" t="n">
        <v>105</v>
      </c>
      <c r="L8" s="0" t="n">
        <v>91</v>
      </c>
      <c r="M8" s="0" t="n">
        <v>68</v>
      </c>
      <c r="N8" s="0" t="n">
        <v>56</v>
      </c>
      <c r="O8" s="0" t="n">
        <v>69</v>
      </c>
      <c r="P8" s="0" t="n">
        <v>82</v>
      </c>
      <c r="Q8" s="0" t="n">
        <v>83</v>
      </c>
      <c r="R8" s="0" t="n">
        <v>56</v>
      </c>
      <c r="S8" s="0" t="n">
        <v>59</v>
      </c>
      <c r="T8" s="0" t="n">
        <v>82</v>
      </c>
      <c r="U8" s="0" t="n">
        <v>92</v>
      </c>
      <c r="V8" s="0" t="n">
        <v>88</v>
      </c>
      <c r="W8" s="0" t="n">
        <v>61</v>
      </c>
      <c r="X8" s="0" t="n">
        <v>89</v>
      </c>
      <c r="Y8" s="0" t="n">
        <v>73</v>
      </c>
      <c r="Z8" s="0" t="n">
        <v>55</v>
      </c>
      <c r="AA8" s="0" t="n">
        <v>85</v>
      </c>
      <c r="AB8" s="0" t="n">
        <v>87</v>
      </c>
      <c r="AC8" s="0" t="n">
        <v>69</v>
      </c>
      <c r="AD8" s="0" t="n">
        <v>72</v>
      </c>
      <c r="AE8" s="0" t="n">
        <v>5577</v>
      </c>
      <c r="AF8" s="0" t="n">
        <v>2002186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82</v>
      </c>
    </row>
    <row r="9" customFormat="false" ht="15" hidden="false" customHeight="false" outlineLevel="0" collapsed="false">
      <c r="A9" s="0" t="s">
        <v>302</v>
      </c>
      <c r="B9" s="0" t="s">
        <v>303</v>
      </c>
      <c r="C9" s="0" t="s">
        <v>42</v>
      </c>
      <c r="D9" s="0" t="s">
        <v>36</v>
      </c>
      <c r="E9" s="0" t="n">
        <v>7</v>
      </c>
      <c r="F9" s="0" t="n">
        <v>2002</v>
      </c>
      <c r="G9" s="0" t="n">
        <v>4</v>
      </c>
      <c r="H9" s="0" t="n">
        <v>22</v>
      </c>
      <c r="J9" s="0" t="n">
        <v>1.9</v>
      </c>
      <c r="K9" s="0" t="n">
        <v>90</v>
      </c>
      <c r="L9" s="0" t="n">
        <v>78</v>
      </c>
      <c r="M9" s="0" t="n">
        <v>81</v>
      </c>
      <c r="N9" s="0" t="n">
        <v>67</v>
      </c>
      <c r="O9" s="0" t="n">
        <v>69</v>
      </c>
      <c r="P9" s="0" t="n">
        <v>85</v>
      </c>
      <c r="Q9" s="0" t="n">
        <v>64</v>
      </c>
      <c r="R9" s="0" t="n">
        <v>88</v>
      </c>
      <c r="S9" s="0" t="n">
        <v>74</v>
      </c>
      <c r="T9" s="0" t="n">
        <v>58</v>
      </c>
      <c r="U9" s="0" t="n">
        <v>57</v>
      </c>
      <c r="V9" s="0" t="n">
        <v>57</v>
      </c>
      <c r="W9" s="0" t="n">
        <v>78</v>
      </c>
      <c r="X9" s="0" t="n">
        <v>56</v>
      </c>
      <c r="Y9" s="0" t="n">
        <v>61</v>
      </c>
      <c r="Z9" s="0" t="n">
        <v>88</v>
      </c>
      <c r="AA9" s="0" t="n">
        <v>83</v>
      </c>
      <c r="AB9" s="0" t="n">
        <v>77</v>
      </c>
      <c r="AC9" s="0" t="n">
        <v>75</v>
      </c>
      <c r="AD9" s="0" t="n">
        <v>77</v>
      </c>
      <c r="AE9" s="0" t="n">
        <v>5002</v>
      </c>
      <c r="AF9" s="0" t="n">
        <v>5034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79</v>
      </c>
    </row>
    <row r="10" customFormat="false" ht="15" hidden="false" customHeight="false" outlineLevel="0" collapsed="false">
      <c r="A10" s="0" t="s">
        <v>304</v>
      </c>
      <c r="B10" s="0" t="s">
        <v>305</v>
      </c>
      <c r="C10" s="0" t="s">
        <v>42</v>
      </c>
      <c r="D10" s="0" t="s">
        <v>36</v>
      </c>
      <c r="E10" s="0" t="n">
        <v>9</v>
      </c>
      <c r="F10" s="0" t="n">
        <v>1999</v>
      </c>
      <c r="G10" s="0" t="n">
        <v>9</v>
      </c>
      <c r="H10" s="0" t="n">
        <v>8</v>
      </c>
      <c r="J10" s="0" t="n">
        <v>1.95</v>
      </c>
      <c r="K10" s="0" t="n">
        <v>90</v>
      </c>
      <c r="L10" s="0" t="n">
        <v>78</v>
      </c>
      <c r="M10" s="0" t="n">
        <v>81</v>
      </c>
      <c r="N10" s="0" t="n">
        <v>75</v>
      </c>
      <c r="O10" s="0" t="n">
        <v>69</v>
      </c>
      <c r="P10" s="0" t="n">
        <v>77</v>
      </c>
      <c r="Q10" s="0" t="n">
        <v>66</v>
      </c>
      <c r="R10" s="0" t="n">
        <v>70</v>
      </c>
      <c r="S10" s="0" t="n">
        <v>68</v>
      </c>
      <c r="T10" s="0" t="n">
        <v>58</v>
      </c>
      <c r="U10" s="0" t="n">
        <v>66</v>
      </c>
      <c r="V10" s="0" t="n">
        <v>61</v>
      </c>
      <c r="W10" s="0" t="n">
        <v>78</v>
      </c>
      <c r="X10" s="0" t="n">
        <v>56</v>
      </c>
      <c r="Y10" s="0" t="n">
        <v>67</v>
      </c>
      <c r="Z10" s="0" t="n">
        <v>86</v>
      </c>
      <c r="AA10" s="0" t="n">
        <v>83</v>
      </c>
      <c r="AB10" s="0" t="n">
        <v>77</v>
      </c>
      <c r="AC10" s="0" t="n">
        <v>75</v>
      </c>
      <c r="AD10" s="0" t="n">
        <v>77</v>
      </c>
      <c r="AE10" s="0" t="n">
        <v>9160</v>
      </c>
      <c r="AF10" s="0" t="n">
        <v>2004606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77</v>
      </c>
    </row>
    <row r="11" customFormat="false" ht="15" hidden="false" customHeight="false" outlineLevel="0" collapsed="false">
      <c r="A11" s="0" t="s">
        <v>306</v>
      </c>
      <c r="B11" s="0" t="s">
        <v>307</v>
      </c>
      <c r="C11" s="0" t="s">
        <v>52</v>
      </c>
      <c r="D11" s="0" t="s">
        <v>36</v>
      </c>
      <c r="E11" s="0" t="n">
        <v>42</v>
      </c>
      <c r="F11" s="0" t="n">
        <v>2003</v>
      </c>
      <c r="G11" s="0" t="n">
        <v>2</v>
      </c>
      <c r="H11" s="0" t="n">
        <v>27</v>
      </c>
      <c r="J11" s="0" t="n">
        <v>2.03</v>
      </c>
      <c r="K11" s="0" t="n">
        <v>111</v>
      </c>
      <c r="L11" s="0" t="n">
        <v>83</v>
      </c>
      <c r="M11" s="0" t="n">
        <v>66</v>
      </c>
      <c r="N11" s="0" t="n">
        <v>54</v>
      </c>
      <c r="O11" s="0" t="n">
        <v>66</v>
      </c>
      <c r="P11" s="0" t="n">
        <v>74</v>
      </c>
      <c r="Q11" s="0" t="n">
        <v>81</v>
      </c>
      <c r="R11" s="0" t="n">
        <v>52</v>
      </c>
      <c r="S11" s="0" t="n">
        <v>57</v>
      </c>
      <c r="T11" s="0" t="n">
        <v>65</v>
      </c>
      <c r="U11" s="0" t="n">
        <v>83</v>
      </c>
      <c r="V11" s="0" t="n">
        <v>83</v>
      </c>
      <c r="W11" s="0" t="n">
        <v>59</v>
      </c>
      <c r="X11" s="0" t="n">
        <v>78</v>
      </c>
      <c r="Y11" s="0" t="n">
        <v>84</v>
      </c>
      <c r="Z11" s="0" t="n">
        <v>62</v>
      </c>
      <c r="AA11" s="0" t="n">
        <v>83</v>
      </c>
      <c r="AB11" s="0" t="n">
        <v>82</v>
      </c>
      <c r="AC11" s="0" t="n">
        <v>66</v>
      </c>
      <c r="AD11" s="0" t="n">
        <v>68</v>
      </c>
      <c r="AE11" s="0" t="n">
        <v>9181</v>
      </c>
      <c r="AF11" s="0" t="n">
        <v>2004965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76</v>
      </c>
    </row>
    <row r="12" customFormat="false" ht="15" hidden="false" customHeight="false" outlineLevel="0" collapsed="false">
      <c r="A12" s="0" t="s">
        <v>75</v>
      </c>
      <c r="B12" s="0" t="s">
        <v>308</v>
      </c>
      <c r="C12" s="0" t="s">
        <v>52</v>
      </c>
      <c r="D12" s="0" t="s">
        <v>36</v>
      </c>
      <c r="E12" s="0" t="n">
        <v>13</v>
      </c>
      <c r="F12" s="0" t="n">
        <v>2003</v>
      </c>
      <c r="G12" s="0" t="n">
        <v>2</v>
      </c>
      <c r="H12" s="0" t="n">
        <v>14</v>
      </c>
      <c r="J12" s="0" t="n">
        <v>2.08</v>
      </c>
      <c r="K12" s="0" t="n">
        <v>110</v>
      </c>
      <c r="L12" s="0" t="n">
        <v>81</v>
      </c>
      <c r="M12" s="0" t="n">
        <v>64</v>
      </c>
      <c r="N12" s="0" t="n">
        <v>50</v>
      </c>
      <c r="O12" s="0" t="n">
        <v>68</v>
      </c>
      <c r="P12" s="0" t="n">
        <v>74</v>
      </c>
      <c r="Q12" s="0" t="n">
        <v>66</v>
      </c>
      <c r="R12" s="0" t="n">
        <v>54</v>
      </c>
      <c r="S12" s="0" t="n">
        <v>57</v>
      </c>
      <c r="T12" s="0" t="n">
        <v>73</v>
      </c>
      <c r="U12" s="0" t="n">
        <v>75</v>
      </c>
      <c r="V12" s="0" t="n">
        <v>78</v>
      </c>
      <c r="W12" s="0" t="n">
        <v>59</v>
      </c>
      <c r="X12" s="0" t="n">
        <v>75</v>
      </c>
      <c r="Y12" s="0" t="n">
        <v>72</v>
      </c>
      <c r="Z12" s="0" t="n">
        <v>53</v>
      </c>
      <c r="AA12" s="0" t="n">
        <v>83</v>
      </c>
      <c r="AB12" s="0" t="n">
        <v>85</v>
      </c>
      <c r="AC12" s="0" t="n">
        <v>66</v>
      </c>
      <c r="AD12" s="0" t="n">
        <v>70</v>
      </c>
      <c r="AE12" s="0" t="n">
        <v>9069</v>
      </c>
      <c r="AF12" s="0" t="n">
        <v>2003983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71</v>
      </c>
    </row>
    <row r="13" customFormat="false" ht="15" hidden="false" customHeight="false" outlineLevel="0" collapsed="false">
      <c r="A13" s="0" t="s">
        <v>300</v>
      </c>
      <c r="B13" s="0" t="s">
        <v>309</v>
      </c>
      <c r="C13" s="0" t="s">
        <v>45</v>
      </c>
      <c r="D13" s="0" t="s">
        <v>36</v>
      </c>
      <c r="E13" s="0" t="n">
        <v>11</v>
      </c>
      <c r="F13" s="0" t="n">
        <v>2008</v>
      </c>
      <c r="G13" s="0" t="n">
        <v>5</v>
      </c>
      <c r="H13" s="0" t="n">
        <v>8</v>
      </c>
      <c r="J13" s="0" t="n">
        <v>1.99</v>
      </c>
      <c r="K13" s="0" t="n">
        <v>87</v>
      </c>
      <c r="L13" s="0" t="n">
        <v>77</v>
      </c>
      <c r="M13" s="0" t="n">
        <v>77</v>
      </c>
      <c r="N13" s="0" t="n">
        <v>66</v>
      </c>
      <c r="O13" s="0" t="n">
        <v>60</v>
      </c>
      <c r="P13" s="0" t="n">
        <v>81</v>
      </c>
      <c r="Q13" s="0" t="n">
        <v>73</v>
      </c>
      <c r="R13" s="0" t="n">
        <v>74</v>
      </c>
      <c r="S13" s="0" t="n">
        <v>66</v>
      </c>
      <c r="T13" s="0" t="n">
        <v>59</v>
      </c>
      <c r="U13" s="0" t="n">
        <v>69</v>
      </c>
      <c r="V13" s="0" t="n">
        <v>64</v>
      </c>
      <c r="W13" s="0" t="n">
        <v>71</v>
      </c>
      <c r="X13" s="0" t="n">
        <v>66</v>
      </c>
      <c r="Y13" s="0" t="n">
        <v>66</v>
      </c>
      <c r="Z13" s="0" t="n">
        <v>83</v>
      </c>
      <c r="AA13" s="0" t="n">
        <v>80</v>
      </c>
      <c r="AB13" s="0" t="n">
        <v>76</v>
      </c>
      <c r="AC13" s="0" t="n">
        <v>69</v>
      </c>
      <c r="AD13" s="0" t="n">
        <v>69</v>
      </c>
      <c r="AE13" s="0" t="n">
        <v>5114</v>
      </c>
      <c r="AF13" s="0" t="n">
        <v>2001468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74</v>
      </c>
    </row>
    <row r="14" customFormat="false" ht="15" hidden="false" customHeight="false" outlineLevel="0" collapsed="false">
      <c r="A14" s="0" t="s">
        <v>310</v>
      </c>
      <c r="B14" s="0" t="s">
        <v>311</v>
      </c>
      <c r="C14" s="0" t="s">
        <v>52</v>
      </c>
      <c r="D14" s="0" t="s">
        <v>36</v>
      </c>
      <c r="E14" s="0" t="n">
        <v>20</v>
      </c>
      <c r="F14" s="0" t="n">
        <v>2002</v>
      </c>
      <c r="G14" s="0" t="n">
        <v>3</v>
      </c>
      <c r="H14" s="0" t="n">
        <v>20</v>
      </c>
      <c r="J14" s="0" t="n">
        <v>2.04</v>
      </c>
      <c r="K14" s="0" t="n">
        <v>102</v>
      </c>
      <c r="L14" s="0" t="n">
        <v>88</v>
      </c>
      <c r="M14" s="0" t="n">
        <v>65</v>
      </c>
      <c r="N14" s="0" t="n">
        <v>72</v>
      </c>
      <c r="O14" s="0" t="n">
        <v>60</v>
      </c>
      <c r="P14" s="0" t="n">
        <v>79</v>
      </c>
      <c r="Q14" s="0" t="n">
        <v>80</v>
      </c>
      <c r="R14" s="0" t="n">
        <v>53</v>
      </c>
      <c r="S14" s="0" t="n">
        <v>56</v>
      </c>
      <c r="T14" s="0" t="n">
        <v>79</v>
      </c>
      <c r="U14" s="0" t="n">
        <v>84</v>
      </c>
      <c r="V14" s="0" t="n">
        <v>82</v>
      </c>
      <c r="W14" s="0" t="n">
        <v>58</v>
      </c>
      <c r="X14" s="0" t="n">
        <v>86</v>
      </c>
      <c r="Y14" s="0" t="n">
        <v>83</v>
      </c>
      <c r="Z14" s="0" t="n">
        <v>55</v>
      </c>
      <c r="AA14" s="0" t="n">
        <v>82</v>
      </c>
      <c r="AB14" s="0" t="n">
        <v>84</v>
      </c>
      <c r="AC14" s="0" t="n">
        <v>65</v>
      </c>
      <c r="AD14" s="0" t="n">
        <v>69</v>
      </c>
      <c r="AE14" s="0" t="n">
        <v>9084</v>
      </c>
      <c r="AF14" s="0" t="n">
        <v>2004048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193</v>
      </c>
      <c r="B2" s="0" t="s">
        <v>312</v>
      </c>
      <c r="C2" s="0" t="s">
        <v>42</v>
      </c>
      <c r="D2" s="0" t="s">
        <v>36</v>
      </c>
      <c r="E2" s="0" t="n">
        <v>43</v>
      </c>
      <c r="F2" s="0" t="n">
        <v>2004</v>
      </c>
      <c r="G2" s="0" t="n">
        <v>8</v>
      </c>
      <c r="H2" s="0" t="n">
        <v>1</v>
      </c>
      <c r="J2" s="0" t="n">
        <v>1.94</v>
      </c>
      <c r="K2" s="0" t="n">
        <v>91</v>
      </c>
      <c r="L2" s="0" t="n">
        <v>90</v>
      </c>
      <c r="M2" s="0" t="n">
        <v>90</v>
      </c>
      <c r="N2" s="0" t="n">
        <v>99</v>
      </c>
      <c r="O2" s="0" t="n">
        <v>60</v>
      </c>
      <c r="P2" s="0" t="n">
        <v>94</v>
      </c>
      <c r="Q2" s="0" t="n">
        <v>73</v>
      </c>
      <c r="R2" s="0" t="n">
        <v>87</v>
      </c>
      <c r="S2" s="0" t="n">
        <v>78</v>
      </c>
      <c r="T2" s="0" t="n">
        <v>67</v>
      </c>
      <c r="U2" s="0" t="n">
        <v>66</v>
      </c>
      <c r="V2" s="0" t="n">
        <v>66</v>
      </c>
      <c r="W2" s="0" t="n">
        <v>90</v>
      </c>
      <c r="X2" s="0" t="n">
        <v>61</v>
      </c>
      <c r="Y2" s="0" t="n">
        <v>68</v>
      </c>
      <c r="Z2" s="0" t="n">
        <v>91</v>
      </c>
      <c r="AA2" s="0" t="n">
        <v>88</v>
      </c>
      <c r="AB2" s="0" t="n">
        <v>82</v>
      </c>
      <c r="AC2" s="0" t="n">
        <v>83</v>
      </c>
      <c r="AD2" s="0" t="n">
        <v>85</v>
      </c>
      <c r="AE2" s="0" t="n">
        <v>9156</v>
      </c>
      <c r="AF2" s="0" t="n">
        <v>2004602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89</v>
      </c>
    </row>
    <row r="3" customFormat="false" ht="15" hidden="false" customHeight="false" outlineLevel="0" collapsed="false">
      <c r="A3" s="0" t="s">
        <v>313</v>
      </c>
      <c r="B3" s="0" t="s">
        <v>314</v>
      </c>
      <c r="C3" s="0" t="s">
        <v>42</v>
      </c>
      <c r="D3" s="0" t="s">
        <v>36</v>
      </c>
      <c r="E3" s="0" t="n">
        <v>11</v>
      </c>
      <c r="F3" s="0" t="n">
        <v>2007</v>
      </c>
      <c r="G3" s="0" t="n">
        <v>12</v>
      </c>
      <c r="H3" s="0" t="n">
        <v>29</v>
      </c>
      <c r="J3" s="0" t="n">
        <v>2</v>
      </c>
      <c r="K3" s="0" t="n">
        <v>91</v>
      </c>
      <c r="L3" s="0" t="n">
        <v>86</v>
      </c>
      <c r="M3" s="0" t="n">
        <v>89</v>
      </c>
      <c r="N3" s="0" t="n">
        <v>67</v>
      </c>
      <c r="O3" s="0" t="n">
        <v>69</v>
      </c>
      <c r="P3" s="0" t="n">
        <v>90</v>
      </c>
      <c r="Q3" s="0" t="n">
        <v>74</v>
      </c>
      <c r="R3" s="0" t="n">
        <v>84</v>
      </c>
      <c r="S3" s="0" t="n">
        <v>75</v>
      </c>
      <c r="T3" s="0" t="n">
        <v>65</v>
      </c>
      <c r="U3" s="0" t="n">
        <v>65</v>
      </c>
      <c r="V3" s="0" t="n">
        <v>65</v>
      </c>
      <c r="W3" s="0" t="n">
        <v>85</v>
      </c>
      <c r="X3" s="0" t="n">
        <v>60</v>
      </c>
      <c r="Y3" s="0" t="n">
        <v>67</v>
      </c>
      <c r="Z3" s="0" t="n">
        <v>92</v>
      </c>
      <c r="AA3" s="0" t="n">
        <v>87</v>
      </c>
      <c r="AB3" s="0" t="n">
        <v>81</v>
      </c>
      <c r="AC3" s="0" t="n">
        <v>77</v>
      </c>
      <c r="AD3" s="0" t="n">
        <v>78</v>
      </c>
      <c r="AE3" s="0" t="n">
        <v>9032</v>
      </c>
      <c r="AF3" s="0" t="n">
        <v>2001951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84</v>
      </c>
    </row>
    <row r="4" customFormat="false" ht="15" hidden="false" customHeight="false" outlineLevel="0" collapsed="false">
      <c r="A4" s="0" t="s">
        <v>315</v>
      </c>
      <c r="B4" s="0" t="s">
        <v>316</v>
      </c>
      <c r="C4" s="0" t="s">
        <v>52</v>
      </c>
      <c r="D4" s="0" t="s">
        <v>36</v>
      </c>
      <c r="E4" s="0" t="n">
        <v>58</v>
      </c>
      <c r="F4" s="0" t="n">
        <v>2008</v>
      </c>
      <c r="G4" s="0" t="n">
        <v>11</v>
      </c>
      <c r="H4" s="0" t="n">
        <v>8</v>
      </c>
      <c r="J4" s="0" t="n">
        <v>2.11</v>
      </c>
      <c r="K4" s="0" t="n">
        <v>91</v>
      </c>
      <c r="L4" s="0" t="n">
        <v>89</v>
      </c>
      <c r="M4" s="0" t="n">
        <v>72</v>
      </c>
      <c r="N4" s="0" t="n">
        <v>80</v>
      </c>
      <c r="O4" s="0" t="n">
        <v>60</v>
      </c>
      <c r="P4" s="0" t="n">
        <v>80</v>
      </c>
      <c r="Q4" s="0" t="n">
        <v>91</v>
      </c>
      <c r="R4" s="0" t="n">
        <v>60</v>
      </c>
      <c r="S4" s="0" t="n">
        <v>61</v>
      </c>
      <c r="T4" s="0" t="n">
        <v>84</v>
      </c>
      <c r="U4" s="0" t="n">
        <v>93</v>
      </c>
      <c r="V4" s="0" t="n">
        <v>94</v>
      </c>
      <c r="W4" s="0" t="n">
        <v>65</v>
      </c>
      <c r="X4" s="0" t="n">
        <v>98</v>
      </c>
      <c r="Y4" s="0" t="n">
        <v>75</v>
      </c>
      <c r="Z4" s="0" t="n">
        <v>62</v>
      </c>
      <c r="AA4" s="0" t="n">
        <v>89</v>
      </c>
      <c r="AB4" s="0" t="n">
        <v>91</v>
      </c>
      <c r="AC4" s="0" t="n">
        <v>69</v>
      </c>
      <c r="AD4" s="0" t="n">
        <v>70</v>
      </c>
      <c r="AE4" s="0" t="n">
        <v>9194</v>
      </c>
      <c r="AF4" s="0" t="n">
        <v>2005115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86</v>
      </c>
    </row>
    <row r="5" customFormat="false" ht="15" hidden="false" customHeight="false" outlineLevel="0" collapsed="false">
      <c r="A5" s="0" t="s">
        <v>317</v>
      </c>
      <c r="B5" s="0" t="s">
        <v>318</v>
      </c>
      <c r="C5" s="0" t="s">
        <v>35</v>
      </c>
      <c r="D5" s="0" t="s">
        <v>36</v>
      </c>
      <c r="E5" s="0" t="n">
        <v>4</v>
      </c>
      <c r="F5" s="0" t="n">
        <v>2008</v>
      </c>
      <c r="G5" s="0" t="n">
        <v>5</v>
      </c>
      <c r="H5" s="0" t="n">
        <v>23</v>
      </c>
      <c r="J5" s="0" t="n">
        <v>1.92</v>
      </c>
      <c r="K5" s="0" t="n">
        <v>81</v>
      </c>
      <c r="L5" s="0" t="n">
        <v>81</v>
      </c>
      <c r="M5" s="0" t="n">
        <v>86</v>
      </c>
      <c r="N5" s="0" t="n">
        <v>60</v>
      </c>
      <c r="O5" s="0" t="n">
        <v>69</v>
      </c>
      <c r="P5" s="0" t="n">
        <v>92</v>
      </c>
      <c r="Q5" s="0" t="n">
        <v>67</v>
      </c>
      <c r="R5" s="0" t="n">
        <v>95</v>
      </c>
      <c r="S5" s="0" t="n">
        <v>92</v>
      </c>
      <c r="T5" s="0" t="n">
        <v>60</v>
      </c>
      <c r="U5" s="0" t="n">
        <v>55</v>
      </c>
      <c r="V5" s="0" t="n">
        <v>55</v>
      </c>
      <c r="W5" s="0" t="n">
        <v>94</v>
      </c>
      <c r="X5" s="0" t="n">
        <v>59</v>
      </c>
      <c r="Y5" s="0" t="n">
        <v>61</v>
      </c>
      <c r="Z5" s="0" t="n">
        <v>99</v>
      </c>
      <c r="AA5" s="0" t="n">
        <v>86</v>
      </c>
      <c r="AB5" s="0" t="n">
        <v>81</v>
      </c>
      <c r="AC5" s="0" t="n">
        <v>76</v>
      </c>
      <c r="AD5" s="0" t="n">
        <v>73</v>
      </c>
      <c r="AE5" s="0" t="n">
        <v>9021</v>
      </c>
      <c r="AF5" s="0" t="n">
        <v>2001363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87</v>
      </c>
    </row>
    <row r="6" customFormat="false" ht="15" hidden="false" customHeight="false" outlineLevel="0" collapsed="false">
      <c r="A6" s="0" t="s">
        <v>319</v>
      </c>
      <c r="B6" s="0" t="s">
        <v>320</v>
      </c>
      <c r="C6" s="0" t="s">
        <v>39</v>
      </c>
      <c r="D6" s="0" t="s">
        <v>36</v>
      </c>
      <c r="E6" s="0" t="n">
        <v>55</v>
      </c>
      <c r="F6" s="0" t="n">
        <v>2004</v>
      </c>
      <c r="G6" s="0" t="n">
        <v>2</v>
      </c>
      <c r="H6" s="0" t="n">
        <v>8</v>
      </c>
      <c r="J6" s="0" t="n">
        <v>2</v>
      </c>
      <c r="K6" s="0" t="n">
        <v>99</v>
      </c>
      <c r="L6" s="0" t="n">
        <v>84</v>
      </c>
      <c r="M6" s="0" t="n">
        <v>76</v>
      </c>
      <c r="N6" s="0" t="n">
        <v>79</v>
      </c>
      <c r="O6" s="0" t="n">
        <v>69</v>
      </c>
      <c r="P6" s="0" t="n">
        <v>81</v>
      </c>
      <c r="Q6" s="0" t="n">
        <v>81</v>
      </c>
      <c r="R6" s="0" t="n">
        <v>67</v>
      </c>
      <c r="S6" s="0" t="n">
        <v>69</v>
      </c>
      <c r="T6" s="0" t="n">
        <v>80</v>
      </c>
      <c r="U6" s="0" t="n">
        <v>85</v>
      </c>
      <c r="V6" s="0" t="n">
        <v>79</v>
      </c>
      <c r="W6" s="0" t="n">
        <v>69</v>
      </c>
      <c r="X6" s="0" t="n">
        <v>90</v>
      </c>
      <c r="Y6" s="0" t="n">
        <v>69</v>
      </c>
      <c r="Z6" s="0" t="n">
        <v>71</v>
      </c>
      <c r="AA6" s="0" t="n">
        <v>86</v>
      </c>
      <c r="AB6" s="0" t="n">
        <v>89</v>
      </c>
      <c r="AC6" s="0" t="n">
        <v>75</v>
      </c>
      <c r="AD6" s="0" t="n">
        <v>76</v>
      </c>
      <c r="AE6" s="0" t="n">
        <v>9015</v>
      </c>
      <c r="AF6" s="0" t="n">
        <v>1400026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81</v>
      </c>
    </row>
    <row r="7" customFormat="false" ht="15" hidden="false" customHeight="false" outlineLevel="0" collapsed="false">
      <c r="A7" s="0" t="s">
        <v>321</v>
      </c>
      <c r="B7" s="0" t="s">
        <v>322</v>
      </c>
      <c r="C7" s="0" t="s">
        <v>35</v>
      </c>
      <c r="D7" s="0" t="s">
        <v>36</v>
      </c>
      <c r="E7" s="0" t="n">
        <v>25</v>
      </c>
      <c r="F7" s="0" t="n">
        <v>2002</v>
      </c>
      <c r="G7" s="0" t="n">
        <v>2</v>
      </c>
      <c r="H7" s="0" t="n">
        <v>17</v>
      </c>
      <c r="J7" s="0" t="n">
        <v>1.86</v>
      </c>
      <c r="K7" s="0" t="n">
        <v>90</v>
      </c>
      <c r="L7" s="0" t="n">
        <v>83</v>
      </c>
      <c r="M7" s="0" t="n">
        <v>88</v>
      </c>
      <c r="N7" s="0" t="n">
        <v>95</v>
      </c>
      <c r="O7" s="0" t="n">
        <v>60</v>
      </c>
      <c r="P7" s="0" t="n">
        <v>94</v>
      </c>
      <c r="Q7" s="0" t="n">
        <v>66</v>
      </c>
      <c r="R7" s="0" t="n">
        <v>94</v>
      </c>
      <c r="S7" s="0" t="n">
        <v>91</v>
      </c>
      <c r="T7" s="0" t="n">
        <v>62</v>
      </c>
      <c r="U7" s="0" t="n">
        <v>55</v>
      </c>
      <c r="V7" s="0" t="n">
        <v>55</v>
      </c>
      <c r="W7" s="0" t="n">
        <v>99</v>
      </c>
      <c r="X7" s="0" t="n">
        <v>59</v>
      </c>
      <c r="Y7" s="0" t="n">
        <v>59</v>
      </c>
      <c r="Z7" s="0" t="n">
        <v>93</v>
      </c>
      <c r="AA7" s="0" t="n">
        <v>86</v>
      </c>
      <c r="AB7" s="0" t="n">
        <v>81</v>
      </c>
      <c r="AC7" s="0" t="n">
        <v>82</v>
      </c>
      <c r="AD7" s="0" t="n">
        <v>82</v>
      </c>
      <c r="AE7" s="0" t="n">
        <v>9154</v>
      </c>
      <c r="AF7" s="0" t="n">
        <v>2004513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91</v>
      </c>
    </row>
    <row r="8" customFormat="false" ht="15" hidden="false" customHeight="false" outlineLevel="0" collapsed="false">
      <c r="A8" s="0" t="s">
        <v>323</v>
      </c>
      <c r="B8" s="0" t="s">
        <v>324</v>
      </c>
      <c r="C8" s="0" t="s">
        <v>35</v>
      </c>
      <c r="D8" s="0" t="s">
        <v>36</v>
      </c>
      <c r="E8" s="0" t="n">
        <v>1</v>
      </c>
      <c r="F8" s="0" t="n">
        <v>2006</v>
      </c>
      <c r="G8" s="0" t="n">
        <v>7</v>
      </c>
      <c r="H8" s="0" t="n">
        <v>23</v>
      </c>
      <c r="J8" s="0" t="n">
        <v>1.9</v>
      </c>
      <c r="K8" s="0" t="n">
        <v>82</v>
      </c>
      <c r="L8" s="0" t="n">
        <v>77</v>
      </c>
      <c r="M8" s="0" t="n">
        <v>82</v>
      </c>
      <c r="N8" s="0" t="n">
        <v>67</v>
      </c>
      <c r="O8" s="0" t="n">
        <v>60</v>
      </c>
      <c r="P8" s="0" t="n">
        <v>88</v>
      </c>
      <c r="Q8" s="0" t="n">
        <v>64</v>
      </c>
      <c r="R8" s="0" t="n">
        <v>93</v>
      </c>
      <c r="S8" s="0" t="n">
        <v>87</v>
      </c>
      <c r="T8" s="0" t="n">
        <v>57</v>
      </c>
      <c r="U8" s="0" t="n">
        <v>53</v>
      </c>
      <c r="V8" s="0" t="n">
        <v>53</v>
      </c>
      <c r="W8" s="0" t="n">
        <v>89</v>
      </c>
      <c r="X8" s="0" t="n">
        <v>57</v>
      </c>
      <c r="Y8" s="0" t="n">
        <v>57</v>
      </c>
      <c r="Z8" s="0" t="n">
        <v>97</v>
      </c>
      <c r="AA8" s="0" t="n">
        <v>84</v>
      </c>
      <c r="AB8" s="0" t="n">
        <v>79</v>
      </c>
      <c r="AC8" s="0" t="n">
        <v>72</v>
      </c>
      <c r="AD8" s="0" t="n">
        <v>72</v>
      </c>
      <c r="AE8" s="0" t="n">
        <v>9029</v>
      </c>
      <c r="AF8" s="0" t="n">
        <v>2001946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83</v>
      </c>
    </row>
    <row r="9" customFormat="false" ht="15" hidden="false" customHeight="false" outlineLevel="0" collapsed="false">
      <c r="A9" s="0" t="s">
        <v>325</v>
      </c>
      <c r="B9" s="0" t="s">
        <v>318</v>
      </c>
      <c r="C9" s="0" t="s">
        <v>42</v>
      </c>
      <c r="D9" s="0" t="s">
        <v>36</v>
      </c>
      <c r="E9" s="0" t="n">
        <v>44</v>
      </c>
      <c r="F9" s="0" t="n">
        <v>2006</v>
      </c>
      <c r="G9" s="0" t="n">
        <v>11</v>
      </c>
      <c r="H9" s="0" t="n">
        <v>22</v>
      </c>
      <c r="J9" s="0" t="n">
        <v>1.94</v>
      </c>
      <c r="K9" s="0" t="n">
        <v>84</v>
      </c>
      <c r="L9" s="0" t="n">
        <v>78</v>
      </c>
      <c r="M9" s="0" t="n">
        <v>81</v>
      </c>
      <c r="N9" s="0" t="n">
        <v>60</v>
      </c>
      <c r="O9" s="0" t="n">
        <v>60</v>
      </c>
      <c r="P9" s="0" t="n">
        <v>82</v>
      </c>
      <c r="Q9" s="0" t="n">
        <v>68</v>
      </c>
      <c r="R9" s="0" t="n">
        <v>82</v>
      </c>
      <c r="S9" s="0" t="n">
        <v>71</v>
      </c>
      <c r="T9" s="0" t="n">
        <v>58</v>
      </c>
      <c r="U9" s="0" t="n">
        <v>61</v>
      </c>
      <c r="V9" s="0" t="n">
        <v>61</v>
      </c>
      <c r="W9" s="0" t="n">
        <v>78</v>
      </c>
      <c r="X9" s="0" t="n">
        <v>56</v>
      </c>
      <c r="Y9" s="0" t="n">
        <v>61</v>
      </c>
      <c r="Z9" s="0" t="n">
        <v>92</v>
      </c>
      <c r="AA9" s="0" t="n">
        <v>83</v>
      </c>
      <c r="AB9" s="0" t="n">
        <v>77</v>
      </c>
      <c r="AC9" s="0" t="n">
        <v>71</v>
      </c>
      <c r="AD9" s="0" t="n">
        <v>71</v>
      </c>
      <c r="AE9" s="0" t="n">
        <v>9020</v>
      </c>
      <c r="AF9" s="0" t="n">
        <v>2001259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77</v>
      </c>
    </row>
    <row r="10" customFormat="false" ht="15" hidden="false" customHeight="false" outlineLevel="0" collapsed="false">
      <c r="A10" s="0" t="s">
        <v>326</v>
      </c>
      <c r="B10" s="0" t="s">
        <v>327</v>
      </c>
      <c r="C10" s="0" t="s">
        <v>45</v>
      </c>
      <c r="D10" s="0" t="s">
        <v>36</v>
      </c>
      <c r="E10" s="0" t="n">
        <v>15</v>
      </c>
      <c r="F10" s="0" t="n">
        <v>2005</v>
      </c>
      <c r="G10" s="0" t="n">
        <v>10</v>
      </c>
      <c r="H10" s="0" t="n">
        <v>25</v>
      </c>
      <c r="J10" s="0" t="n">
        <v>2.05</v>
      </c>
      <c r="K10" s="0" t="n">
        <v>88</v>
      </c>
      <c r="L10" s="0" t="n">
        <v>78</v>
      </c>
      <c r="M10" s="0" t="n">
        <v>78</v>
      </c>
      <c r="N10" s="0" t="n">
        <v>78</v>
      </c>
      <c r="O10" s="0" t="n">
        <v>69</v>
      </c>
      <c r="P10" s="0" t="n">
        <v>82</v>
      </c>
      <c r="Q10" s="0" t="n">
        <v>74</v>
      </c>
      <c r="R10" s="0" t="n">
        <v>73</v>
      </c>
      <c r="S10" s="0" t="n">
        <v>67</v>
      </c>
      <c r="T10" s="0" t="n">
        <v>60</v>
      </c>
      <c r="U10" s="0" t="n">
        <v>70</v>
      </c>
      <c r="V10" s="0" t="n">
        <v>65</v>
      </c>
      <c r="W10" s="0" t="n">
        <v>72</v>
      </c>
      <c r="X10" s="0" t="n">
        <v>67</v>
      </c>
      <c r="Y10" s="0" t="n">
        <v>67</v>
      </c>
      <c r="Z10" s="0" t="n">
        <v>82</v>
      </c>
      <c r="AA10" s="0" t="n">
        <v>81</v>
      </c>
      <c r="AB10" s="0" t="n">
        <v>77</v>
      </c>
      <c r="AC10" s="0" t="n">
        <v>70</v>
      </c>
      <c r="AD10" s="0" t="n">
        <v>70</v>
      </c>
      <c r="AE10" s="0" t="n">
        <v>9087</v>
      </c>
      <c r="AF10" s="0" t="n">
        <v>2004110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76</v>
      </c>
    </row>
    <row r="11" customFormat="false" ht="15" hidden="false" customHeight="false" outlineLevel="0" collapsed="false">
      <c r="A11" s="0" t="s">
        <v>328</v>
      </c>
      <c r="B11" s="0" t="s">
        <v>329</v>
      </c>
      <c r="C11" s="0" t="s">
        <v>52</v>
      </c>
      <c r="D11" s="0" t="s">
        <v>36</v>
      </c>
      <c r="E11" s="0" t="n">
        <v>17</v>
      </c>
      <c r="F11" s="0" t="n">
        <v>2005</v>
      </c>
      <c r="G11" s="0" t="n">
        <v>9</v>
      </c>
      <c r="H11" s="0" t="n">
        <v>7</v>
      </c>
      <c r="J11" s="0" t="n">
        <v>2.05</v>
      </c>
      <c r="K11" s="0" t="n">
        <v>103</v>
      </c>
      <c r="L11" s="0" t="n">
        <v>84</v>
      </c>
      <c r="M11" s="0" t="n">
        <v>67</v>
      </c>
      <c r="N11" s="0" t="n">
        <v>50</v>
      </c>
      <c r="O11" s="0" t="n">
        <v>69</v>
      </c>
      <c r="P11" s="0" t="n">
        <v>75</v>
      </c>
      <c r="Q11" s="0" t="n">
        <v>84</v>
      </c>
      <c r="R11" s="0" t="n">
        <v>55</v>
      </c>
      <c r="S11" s="0" t="n">
        <v>56</v>
      </c>
      <c r="T11" s="0" t="n">
        <v>79</v>
      </c>
      <c r="U11" s="0" t="n">
        <v>86</v>
      </c>
      <c r="V11" s="0" t="n">
        <v>84</v>
      </c>
      <c r="W11" s="0" t="n">
        <v>60</v>
      </c>
      <c r="X11" s="0" t="n">
        <v>88</v>
      </c>
      <c r="Y11" s="0" t="n">
        <v>69</v>
      </c>
      <c r="Z11" s="0" t="n">
        <v>61</v>
      </c>
      <c r="AA11" s="0" t="n">
        <v>84</v>
      </c>
      <c r="AB11" s="0" t="n">
        <v>86</v>
      </c>
      <c r="AC11" s="0" t="n">
        <v>64</v>
      </c>
      <c r="AD11" s="0" t="n">
        <v>65</v>
      </c>
      <c r="AE11" s="0" t="n">
        <v>9017</v>
      </c>
      <c r="AF11" s="0" t="n">
        <v>2000160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77</v>
      </c>
    </row>
    <row r="12" customFormat="false" ht="15" hidden="false" customHeight="false" outlineLevel="0" collapsed="false">
      <c r="A12" s="0" t="s">
        <v>284</v>
      </c>
      <c r="B12" s="0" t="s">
        <v>330</v>
      </c>
      <c r="C12" s="0" t="s">
        <v>52</v>
      </c>
      <c r="D12" s="0" t="s">
        <v>36</v>
      </c>
      <c r="E12" s="0" t="n">
        <v>6</v>
      </c>
      <c r="F12" s="0" t="n">
        <v>2008</v>
      </c>
      <c r="G12" s="0" t="n">
        <v>2</v>
      </c>
      <c r="H12" s="0" t="n">
        <v>23</v>
      </c>
      <c r="J12" s="0" t="n">
        <v>2.12</v>
      </c>
      <c r="K12" s="0" t="n">
        <v>105</v>
      </c>
      <c r="L12" s="0" t="n">
        <v>93</v>
      </c>
      <c r="M12" s="0" t="n">
        <v>66</v>
      </c>
      <c r="N12" s="0" t="n">
        <v>54</v>
      </c>
      <c r="O12" s="0" t="n">
        <v>60</v>
      </c>
      <c r="P12" s="0" t="n">
        <v>84</v>
      </c>
      <c r="Q12" s="0" t="n">
        <v>85</v>
      </c>
      <c r="R12" s="0" t="n">
        <v>54</v>
      </c>
      <c r="S12" s="0" t="n">
        <v>55</v>
      </c>
      <c r="T12" s="0" t="n">
        <v>81</v>
      </c>
      <c r="U12" s="0" t="n">
        <v>92</v>
      </c>
      <c r="V12" s="0" t="n">
        <v>88</v>
      </c>
      <c r="W12" s="0" t="n">
        <v>59</v>
      </c>
      <c r="X12" s="0" t="n">
        <v>92</v>
      </c>
      <c r="Y12" s="0" t="n">
        <v>89</v>
      </c>
      <c r="Z12" s="0" t="n">
        <v>53</v>
      </c>
      <c r="AA12" s="0" t="n">
        <v>83</v>
      </c>
      <c r="AB12" s="0" t="n">
        <v>85</v>
      </c>
      <c r="AC12" s="0" t="n">
        <v>62</v>
      </c>
      <c r="AD12" s="0" t="n">
        <v>64</v>
      </c>
      <c r="AE12" s="0" t="n">
        <v>9022</v>
      </c>
      <c r="AF12" s="0" t="n">
        <v>2001368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83</v>
      </c>
    </row>
    <row r="13" customFormat="false" ht="15" hidden="false" customHeight="false" outlineLevel="0" collapsed="false">
      <c r="A13" s="0" t="s">
        <v>331</v>
      </c>
      <c r="B13" s="0" t="s">
        <v>332</v>
      </c>
      <c r="C13" s="0" t="s">
        <v>52</v>
      </c>
      <c r="D13" s="0" t="s">
        <v>36</v>
      </c>
      <c r="E13" s="0" t="n">
        <v>28</v>
      </c>
      <c r="F13" s="0" t="n">
        <v>2008</v>
      </c>
      <c r="G13" s="0" t="n">
        <v>2</v>
      </c>
      <c r="H13" s="0" t="n">
        <v>28</v>
      </c>
      <c r="J13" s="0" t="n">
        <v>2.11</v>
      </c>
      <c r="K13" s="0" t="n">
        <v>90</v>
      </c>
      <c r="L13" s="0" t="n">
        <v>83</v>
      </c>
      <c r="M13" s="0" t="n">
        <v>66</v>
      </c>
      <c r="N13" s="0" t="n">
        <v>54</v>
      </c>
      <c r="O13" s="0" t="n">
        <v>68</v>
      </c>
      <c r="P13" s="0" t="n">
        <v>74</v>
      </c>
      <c r="Q13" s="0" t="n">
        <v>85</v>
      </c>
      <c r="R13" s="0" t="n">
        <v>54</v>
      </c>
      <c r="S13" s="0" t="n">
        <v>55</v>
      </c>
      <c r="T13" s="0" t="n">
        <v>78</v>
      </c>
      <c r="U13" s="0" t="n">
        <v>87</v>
      </c>
      <c r="V13" s="0" t="n">
        <v>88</v>
      </c>
      <c r="W13" s="0" t="n">
        <v>59</v>
      </c>
      <c r="X13" s="0" t="n">
        <v>89</v>
      </c>
      <c r="Y13" s="0" t="n">
        <v>89</v>
      </c>
      <c r="Z13" s="0" t="n">
        <v>56</v>
      </c>
      <c r="AA13" s="0" t="n">
        <v>83</v>
      </c>
      <c r="AB13" s="0" t="n">
        <v>82</v>
      </c>
      <c r="AC13" s="0" t="n">
        <v>62</v>
      </c>
      <c r="AD13" s="0" t="n">
        <v>64</v>
      </c>
      <c r="AE13" s="0" t="n">
        <v>9170</v>
      </c>
      <c r="AF13" s="0" t="n">
        <v>2004732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81</v>
      </c>
    </row>
    <row r="14" customFormat="false" ht="15" hidden="false" customHeight="false" outlineLevel="0" collapsed="false">
      <c r="A14" s="0" t="s">
        <v>333</v>
      </c>
      <c r="B14" s="0" t="s">
        <v>334</v>
      </c>
      <c r="C14" s="0" t="s">
        <v>42</v>
      </c>
      <c r="D14" s="0" t="s">
        <v>36</v>
      </c>
      <c r="E14" s="0" t="n">
        <v>3</v>
      </c>
      <c r="F14" s="0" t="n">
        <v>2008</v>
      </c>
      <c r="G14" s="0" t="n">
        <v>3</v>
      </c>
      <c r="H14" s="0" t="n">
        <v>15</v>
      </c>
      <c r="J14" s="0" t="n">
        <v>1.94</v>
      </c>
      <c r="K14" s="0" t="n">
        <v>78</v>
      </c>
      <c r="L14" s="0" t="n">
        <v>76</v>
      </c>
      <c r="M14" s="0" t="n">
        <v>79</v>
      </c>
      <c r="N14" s="0" t="n">
        <v>60</v>
      </c>
      <c r="O14" s="0" t="n">
        <v>89</v>
      </c>
      <c r="P14" s="0" t="n">
        <v>80</v>
      </c>
      <c r="Q14" s="0" t="n">
        <v>66</v>
      </c>
      <c r="R14" s="0" t="n">
        <v>80</v>
      </c>
      <c r="S14" s="0" t="n">
        <v>69</v>
      </c>
      <c r="T14" s="0" t="n">
        <v>56</v>
      </c>
      <c r="U14" s="0" t="n">
        <v>59</v>
      </c>
      <c r="V14" s="0" t="n">
        <v>59</v>
      </c>
      <c r="W14" s="0" t="n">
        <v>76</v>
      </c>
      <c r="X14" s="0" t="n">
        <v>54</v>
      </c>
      <c r="Y14" s="0" t="n">
        <v>59</v>
      </c>
      <c r="Z14" s="0" t="n">
        <v>90</v>
      </c>
      <c r="AA14" s="0" t="n">
        <v>81</v>
      </c>
      <c r="AB14" s="0" t="n">
        <v>75</v>
      </c>
      <c r="AC14" s="0" t="n">
        <v>69</v>
      </c>
      <c r="AD14" s="0" t="n">
        <v>69</v>
      </c>
      <c r="AE14" s="0" t="n">
        <v>9030</v>
      </c>
      <c r="AF14" s="0" t="n">
        <v>2001947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76</v>
      </c>
    </row>
    <row r="15" customFormat="false" ht="15" hidden="false" customHeight="false" outlineLevel="0" collapsed="false">
      <c r="A15" s="0" t="s">
        <v>335</v>
      </c>
      <c r="B15" s="0" t="s">
        <v>336</v>
      </c>
      <c r="C15" s="0" t="s">
        <v>39</v>
      </c>
      <c r="D15" s="0" t="s">
        <v>36</v>
      </c>
      <c r="E15" s="0" t="n">
        <v>8</v>
      </c>
      <c r="F15" s="0" t="n">
        <v>2009</v>
      </c>
      <c r="G15" s="0" t="n">
        <v>6</v>
      </c>
      <c r="H15" s="0" t="n">
        <v>22</v>
      </c>
      <c r="J15" s="0" t="n">
        <v>2.1</v>
      </c>
      <c r="K15" s="0" t="n">
        <v>100</v>
      </c>
      <c r="L15" s="0" t="n">
        <v>78</v>
      </c>
      <c r="M15" s="0" t="n">
        <v>70</v>
      </c>
      <c r="N15" s="0" t="n">
        <v>66</v>
      </c>
      <c r="O15" s="0" t="n">
        <v>68</v>
      </c>
      <c r="P15" s="0" t="n">
        <v>75</v>
      </c>
      <c r="Q15" s="0" t="n">
        <v>79</v>
      </c>
      <c r="R15" s="0" t="n">
        <v>61</v>
      </c>
      <c r="S15" s="0" t="n">
        <v>61</v>
      </c>
      <c r="T15" s="0" t="n">
        <v>74</v>
      </c>
      <c r="U15" s="0" t="n">
        <v>83</v>
      </c>
      <c r="V15" s="0" t="n">
        <v>80</v>
      </c>
      <c r="W15" s="0" t="n">
        <v>63</v>
      </c>
      <c r="X15" s="0" t="n">
        <v>89</v>
      </c>
      <c r="Y15" s="0" t="n">
        <v>84</v>
      </c>
      <c r="Z15" s="0" t="n">
        <v>65</v>
      </c>
      <c r="AA15" s="0" t="n">
        <v>80</v>
      </c>
      <c r="AB15" s="0" t="n">
        <v>83</v>
      </c>
      <c r="AC15" s="0" t="n">
        <v>64</v>
      </c>
      <c r="AD15" s="0" t="n">
        <v>64</v>
      </c>
      <c r="AE15" s="0" t="n">
        <v>9186</v>
      </c>
      <c r="AF15" s="0" t="n">
        <v>2005025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77</v>
      </c>
    </row>
    <row r="16" customFormat="false" ht="15" hidden="false" customHeight="false" outlineLevel="0" collapsed="false">
      <c r="A16" s="0" t="s">
        <v>135</v>
      </c>
      <c r="B16" s="0" t="s">
        <v>337</v>
      </c>
      <c r="C16" s="0" t="s">
        <v>42</v>
      </c>
      <c r="D16" s="0" t="s">
        <v>36</v>
      </c>
      <c r="E16" s="0" t="n">
        <v>22</v>
      </c>
      <c r="F16" s="0" t="n">
        <v>2010</v>
      </c>
      <c r="G16" s="0" t="n">
        <v>4</v>
      </c>
      <c r="H16" s="0" t="n">
        <v>30</v>
      </c>
      <c r="J16" s="0" t="n">
        <v>1.93</v>
      </c>
      <c r="K16" s="0" t="n">
        <v>80</v>
      </c>
      <c r="L16" s="0" t="n">
        <v>84</v>
      </c>
      <c r="M16" s="0" t="n">
        <v>77</v>
      </c>
      <c r="N16" s="0" t="n">
        <v>79</v>
      </c>
      <c r="O16" s="0" t="n">
        <v>87</v>
      </c>
      <c r="P16" s="0" t="n">
        <v>88</v>
      </c>
      <c r="Q16" s="0" t="n">
        <v>64</v>
      </c>
      <c r="R16" s="0" t="n">
        <v>86</v>
      </c>
      <c r="S16" s="0" t="n">
        <v>70</v>
      </c>
      <c r="T16" s="0" t="n">
        <v>57</v>
      </c>
      <c r="U16" s="0" t="n">
        <v>57</v>
      </c>
      <c r="V16" s="0" t="n">
        <v>57</v>
      </c>
      <c r="W16" s="0" t="n">
        <v>74</v>
      </c>
      <c r="X16" s="0" t="n">
        <v>52</v>
      </c>
      <c r="Y16" s="0" t="n">
        <v>57</v>
      </c>
      <c r="Z16" s="0" t="n">
        <v>88</v>
      </c>
      <c r="AA16" s="0" t="n">
        <v>79</v>
      </c>
      <c r="AB16" s="0" t="n">
        <v>73</v>
      </c>
      <c r="AC16" s="0" t="n">
        <v>67</v>
      </c>
      <c r="AD16" s="0" t="n">
        <v>67</v>
      </c>
      <c r="AE16" s="0" t="n">
        <v>9031</v>
      </c>
      <c r="AF16" s="0" t="n">
        <v>2001950</v>
      </c>
      <c r="AG16" s="0" t="n">
        <f aca="false">IF(ISNA(MATCH($C16,_Overall_Model!$A$2:$A$6,0)),"",ROUND(SUMPRODUCT(L16:AD16,INDEX(_Overall_Model!$B$2:$T$6,MATCH($C16,_Overall_Model!$A$2:$A$6,0),0))+INDEX(_Overall_Model!$U$2:$U$6,MATCH($C16,_Overall_Model!$A$2:$A$6,0))+INDEX(_Overall_Model!$V$2:$V$6,MATCH($C16,_Overall_Model!$A$2:$A$6,0))*IF(Q16&gt;=75,99,IF(Q16&gt;=60,50,0))+INDEX(_Overall_Model!$W$2:$W$6,MATCH($C16,_Overall_Model!$A$2:$A$6,0))*J16+INDEX(_Overall_Model!$X$2:$X$6,MATCH($C16,_Overall_Model!$A$2:$A$6,0))*K16,0))</f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338</v>
      </c>
      <c r="B2" s="0" t="s">
        <v>339</v>
      </c>
      <c r="C2" s="0" t="s">
        <v>35</v>
      </c>
      <c r="D2" s="0" t="s">
        <v>36</v>
      </c>
      <c r="E2" s="0" t="n">
        <v>0</v>
      </c>
      <c r="F2" s="0" t="n">
        <v>1999</v>
      </c>
      <c r="G2" s="0" t="n">
        <v>11</v>
      </c>
      <c r="H2" s="0" t="n">
        <v>28</v>
      </c>
      <c r="J2" s="0" t="n">
        <v>1.83</v>
      </c>
      <c r="K2" s="0" t="n">
        <v>85</v>
      </c>
      <c r="L2" s="0" t="n">
        <v>88</v>
      </c>
      <c r="M2" s="0" t="n">
        <v>93</v>
      </c>
      <c r="N2" s="0" t="n">
        <v>67</v>
      </c>
      <c r="O2" s="0" t="n">
        <v>97</v>
      </c>
      <c r="P2" s="0" t="n">
        <v>99</v>
      </c>
      <c r="Q2" s="0" t="n">
        <v>69</v>
      </c>
      <c r="R2" s="0" t="n">
        <v>99</v>
      </c>
      <c r="S2" s="0" t="n">
        <v>99</v>
      </c>
      <c r="T2" s="0" t="n">
        <v>66</v>
      </c>
      <c r="U2" s="0" t="n">
        <v>56</v>
      </c>
      <c r="V2" s="0" t="n">
        <v>56</v>
      </c>
      <c r="W2" s="0" t="n">
        <v>99</v>
      </c>
      <c r="X2" s="0" t="n">
        <v>62</v>
      </c>
      <c r="Y2" s="0" t="n">
        <v>64</v>
      </c>
      <c r="Z2" s="0" t="n">
        <v>98</v>
      </c>
      <c r="AA2" s="0" t="n">
        <v>89</v>
      </c>
      <c r="AB2" s="0" t="n">
        <v>84</v>
      </c>
      <c r="AC2" s="0" t="n">
        <v>84</v>
      </c>
      <c r="AD2" s="0" t="n">
        <v>85</v>
      </c>
      <c r="AE2" s="0" t="n">
        <v>9151</v>
      </c>
      <c r="AF2" s="0" t="n">
        <v>2004483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95</v>
      </c>
    </row>
    <row r="3" customFormat="false" ht="15" hidden="false" customHeight="false" outlineLevel="0" collapsed="false">
      <c r="A3" s="0" t="s">
        <v>340</v>
      </c>
      <c r="B3" s="0" t="s">
        <v>341</v>
      </c>
      <c r="C3" s="0" t="s">
        <v>39</v>
      </c>
      <c r="D3" s="0" t="s">
        <v>36</v>
      </c>
      <c r="E3" s="0" t="n">
        <v>1</v>
      </c>
      <c r="F3" s="0" t="n">
        <v>2003</v>
      </c>
      <c r="G3" s="0" t="n">
        <v>4</v>
      </c>
      <c r="H3" s="0" t="n">
        <v>14</v>
      </c>
      <c r="J3" s="0" t="n">
        <v>2.02</v>
      </c>
      <c r="K3" s="0" t="n">
        <v>110</v>
      </c>
      <c r="L3" s="0" t="n">
        <v>88</v>
      </c>
      <c r="M3" s="0" t="n">
        <v>80</v>
      </c>
      <c r="N3" s="0" t="n">
        <v>76</v>
      </c>
      <c r="O3" s="0" t="n">
        <v>81</v>
      </c>
      <c r="P3" s="0" t="n">
        <v>85</v>
      </c>
      <c r="Q3" s="0" t="n">
        <v>84</v>
      </c>
      <c r="R3" s="0" t="n">
        <v>68</v>
      </c>
      <c r="S3" s="0" t="n">
        <v>71</v>
      </c>
      <c r="T3" s="0" t="n">
        <v>83</v>
      </c>
      <c r="U3" s="0" t="n">
        <v>90</v>
      </c>
      <c r="V3" s="0" t="n">
        <v>81</v>
      </c>
      <c r="W3" s="0" t="n">
        <v>74</v>
      </c>
      <c r="X3" s="0" t="n">
        <v>95</v>
      </c>
      <c r="Y3" s="0" t="n">
        <v>92</v>
      </c>
      <c r="Z3" s="0" t="n">
        <v>70</v>
      </c>
      <c r="AA3" s="0" t="n">
        <v>88</v>
      </c>
      <c r="AB3" s="0" t="n">
        <v>94</v>
      </c>
      <c r="AC3" s="0" t="n">
        <v>79</v>
      </c>
      <c r="AD3" s="0" t="n">
        <v>78</v>
      </c>
      <c r="AE3" s="0" t="n">
        <v>9147</v>
      </c>
      <c r="AF3" s="0" t="n">
        <v>2004480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87</v>
      </c>
    </row>
    <row r="4" customFormat="false" ht="15" hidden="false" customHeight="false" outlineLevel="0" collapsed="false">
      <c r="A4" s="0" t="s">
        <v>171</v>
      </c>
      <c r="B4" s="0" t="s">
        <v>342</v>
      </c>
      <c r="C4" s="0" t="s">
        <v>45</v>
      </c>
      <c r="D4" s="0" t="s">
        <v>36</v>
      </c>
      <c r="E4" s="0" t="n">
        <v>13</v>
      </c>
      <c r="F4" s="0" t="n">
        <v>2003</v>
      </c>
      <c r="G4" s="0" t="n">
        <v>9</v>
      </c>
      <c r="H4" s="0" t="n">
        <v>21</v>
      </c>
      <c r="J4" s="0" t="n">
        <v>1.95</v>
      </c>
      <c r="K4" s="0" t="n">
        <v>100</v>
      </c>
      <c r="L4" s="0" t="n">
        <v>83</v>
      </c>
      <c r="M4" s="0" t="n">
        <v>83</v>
      </c>
      <c r="N4" s="0" t="n">
        <v>83</v>
      </c>
      <c r="O4" s="0" t="n">
        <v>88</v>
      </c>
      <c r="P4" s="0" t="n">
        <v>87</v>
      </c>
      <c r="Q4" s="0" t="n">
        <v>77</v>
      </c>
      <c r="R4" s="0" t="n">
        <v>80</v>
      </c>
      <c r="S4" s="0" t="n">
        <v>74</v>
      </c>
      <c r="T4" s="0" t="n">
        <v>65</v>
      </c>
      <c r="U4" s="0" t="n">
        <v>77</v>
      </c>
      <c r="V4" s="0" t="n">
        <v>70</v>
      </c>
      <c r="W4" s="0" t="n">
        <v>80</v>
      </c>
      <c r="X4" s="0" t="n">
        <v>75</v>
      </c>
      <c r="Y4" s="0" t="n">
        <v>77</v>
      </c>
      <c r="Z4" s="0" t="n">
        <v>85</v>
      </c>
      <c r="AA4" s="0" t="n">
        <v>86</v>
      </c>
      <c r="AB4" s="0" t="n">
        <v>85</v>
      </c>
      <c r="AC4" s="0" t="n">
        <v>82</v>
      </c>
      <c r="AD4" s="0" t="n">
        <v>81</v>
      </c>
      <c r="AE4" s="0" t="n">
        <v>9150</v>
      </c>
      <c r="AF4" s="0" t="n">
        <v>2004482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84</v>
      </c>
    </row>
    <row r="5" customFormat="false" ht="15" hidden="false" customHeight="false" outlineLevel="0" collapsed="false">
      <c r="A5" s="0" t="s">
        <v>343</v>
      </c>
      <c r="B5" s="0" t="s">
        <v>344</v>
      </c>
      <c r="C5" s="0" t="s">
        <v>42</v>
      </c>
      <c r="D5" s="0" t="s">
        <v>36</v>
      </c>
      <c r="E5" s="0" t="n">
        <v>9</v>
      </c>
      <c r="F5" s="0" t="n">
        <v>2002</v>
      </c>
      <c r="G5" s="0" t="n">
        <v>8</v>
      </c>
      <c r="H5" s="0" t="n">
        <v>9</v>
      </c>
      <c r="J5" s="0" t="n">
        <v>1.95</v>
      </c>
      <c r="K5" s="0" t="n">
        <v>88</v>
      </c>
      <c r="L5" s="0" t="n">
        <v>83</v>
      </c>
      <c r="M5" s="0" t="n">
        <v>86</v>
      </c>
      <c r="N5" s="0" t="n">
        <v>95</v>
      </c>
      <c r="O5" s="0" t="n">
        <v>91</v>
      </c>
      <c r="P5" s="0" t="n">
        <v>87</v>
      </c>
      <c r="Q5" s="0" t="n">
        <v>70</v>
      </c>
      <c r="R5" s="0" t="n">
        <v>84</v>
      </c>
      <c r="S5" s="0" t="n">
        <v>76</v>
      </c>
      <c r="T5" s="0" t="n">
        <v>62</v>
      </c>
      <c r="U5" s="0" t="n">
        <v>64</v>
      </c>
      <c r="V5" s="0" t="n">
        <v>64</v>
      </c>
      <c r="W5" s="0" t="n">
        <v>84</v>
      </c>
      <c r="X5" s="0" t="n">
        <v>59</v>
      </c>
      <c r="Y5" s="0" t="n">
        <v>64</v>
      </c>
      <c r="Z5" s="0" t="n">
        <v>89</v>
      </c>
      <c r="AA5" s="0" t="n">
        <v>86</v>
      </c>
      <c r="AB5" s="0" t="n">
        <v>80</v>
      </c>
      <c r="AC5" s="0" t="n">
        <v>79</v>
      </c>
      <c r="AD5" s="0" t="n">
        <v>80</v>
      </c>
      <c r="AE5" s="0" t="n">
        <v>9191</v>
      </c>
      <c r="AF5" s="0" t="n">
        <v>2005106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86</v>
      </c>
    </row>
    <row r="6" customFormat="false" ht="15" hidden="false" customHeight="false" outlineLevel="0" collapsed="false">
      <c r="A6" s="0" t="s">
        <v>345</v>
      </c>
      <c r="B6" s="0" t="s">
        <v>346</v>
      </c>
      <c r="C6" s="0" t="s">
        <v>35</v>
      </c>
      <c r="D6" s="0" t="s">
        <v>36</v>
      </c>
      <c r="E6" s="0" t="n">
        <v>24</v>
      </c>
      <c r="F6" s="0" t="n">
        <v>1998</v>
      </c>
      <c r="G6" s="0" t="n">
        <v>10</v>
      </c>
      <c r="H6" s="0" t="n">
        <v>18</v>
      </c>
      <c r="J6" s="0" t="n">
        <v>1.88</v>
      </c>
      <c r="K6" s="0" t="n">
        <v>79</v>
      </c>
      <c r="L6" s="0" t="n">
        <v>80</v>
      </c>
      <c r="M6" s="0" t="n">
        <v>85</v>
      </c>
      <c r="N6" s="0" t="n">
        <v>67</v>
      </c>
      <c r="O6" s="0" t="n">
        <v>69</v>
      </c>
      <c r="P6" s="0" t="n">
        <v>91</v>
      </c>
      <c r="Q6" s="0" t="n">
        <v>64</v>
      </c>
      <c r="R6" s="0" t="n">
        <v>96</v>
      </c>
      <c r="S6" s="0" t="n">
        <v>93</v>
      </c>
      <c r="T6" s="0" t="n">
        <v>59</v>
      </c>
      <c r="U6" s="0" t="n">
        <v>54</v>
      </c>
      <c r="V6" s="0" t="n">
        <v>54</v>
      </c>
      <c r="W6" s="0" t="n">
        <v>93</v>
      </c>
      <c r="X6" s="0" t="n">
        <v>58</v>
      </c>
      <c r="Y6" s="0" t="n">
        <v>60</v>
      </c>
      <c r="Z6" s="0" t="n">
        <v>94</v>
      </c>
      <c r="AA6" s="0" t="n">
        <v>85</v>
      </c>
      <c r="AB6" s="0" t="n">
        <v>80</v>
      </c>
      <c r="AC6" s="0" t="n">
        <v>79</v>
      </c>
      <c r="AD6" s="0" t="n">
        <v>80</v>
      </c>
      <c r="AE6" s="0" t="n">
        <v>9148</v>
      </c>
      <c r="AF6" s="0" t="n">
        <v>2004481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87</v>
      </c>
    </row>
    <row r="7" customFormat="false" ht="15" hidden="false" customHeight="false" outlineLevel="0" collapsed="false">
      <c r="A7" s="0" t="s">
        <v>347</v>
      </c>
      <c r="B7" s="0" t="s">
        <v>348</v>
      </c>
      <c r="C7" s="0" t="s">
        <v>42</v>
      </c>
      <c r="D7" s="0" t="s">
        <v>36</v>
      </c>
      <c r="E7" s="0" t="n">
        <v>10</v>
      </c>
      <c r="F7" s="0" t="n">
        <v>2005</v>
      </c>
      <c r="G7" s="0" t="n">
        <v>2</v>
      </c>
      <c r="H7" s="0" t="n">
        <v>28</v>
      </c>
      <c r="J7" s="0" t="n">
        <v>1.9</v>
      </c>
      <c r="K7" s="0" t="n">
        <v>84</v>
      </c>
      <c r="L7" s="0" t="n">
        <v>80</v>
      </c>
      <c r="M7" s="0" t="n">
        <v>83</v>
      </c>
      <c r="N7" s="0" t="n">
        <v>67</v>
      </c>
      <c r="O7" s="0" t="n">
        <v>69</v>
      </c>
      <c r="P7" s="0" t="n">
        <v>87</v>
      </c>
      <c r="Q7" s="0" t="n">
        <v>68</v>
      </c>
      <c r="R7" s="0" t="n">
        <v>86</v>
      </c>
      <c r="S7" s="0" t="n">
        <v>73</v>
      </c>
      <c r="T7" s="0" t="n">
        <v>60</v>
      </c>
      <c r="U7" s="0" t="n">
        <v>59</v>
      </c>
      <c r="V7" s="0" t="n">
        <v>59</v>
      </c>
      <c r="W7" s="0" t="n">
        <v>80</v>
      </c>
      <c r="X7" s="0" t="n">
        <v>58</v>
      </c>
      <c r="Y7" s="0" t="n">
        <v>63</v>
      </c>
      <c r="Z7" s="0" t="n">
        <v>96</v>
      </c>
      <c r="AA7" s="0" t="n">
        <v>85</v>
      </c>
      <c r="AB7" s="0" t="n">
        <v>79</v>
      </c>
      <c r="AC7" s="0" t="n">
        <v>73</v>
      </c>
      <c r="AD7" s="0" t="n">
        <v>73</v>
      </c>
      <c r="AE7" s="0" t="n">
        <v>5025</v>
      </c>
      <c r="AF7" s="0" t="n">
        <v>6272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80</v>
      </c>
    </row>
    <row r="8" customFormat="false" ht="15" hidden="false" customHeight="false" outlineLevel="0" collapsed="false">
      <c r="A8" s="0" t="s">
        <v>245</v>
      </c>
      <c r="B8" s="0" t="s">
        <v>349</v>
      </c>
      <c r="C8" s="0" t="s">
        <v>35</v>
      </c>
      <c r="D8" s="0" t="s">
        <v>36</v>
      </c>
      <c r="E8" s="0" t="n">
        <v>31</v>
      </c>
      <c r="F8" s="0" t="n">
        <v>2002</v>
      </c>
      <c r="G8" s="0" t="n">
        <v>4</v>
      </c>
      <c r="H8" s="0" t="n">
        <v>7</v>
      </c>
      <c r="J8" s="0" t="n">
        <v>1.89</v>
      </c>
      <c r="K8" s="0" t="n">
        <v>86</v>
      </c>
      <c r="L8" s="0" t="n">
        <v>78</v>
      </c>
      <c r="M8" s="0" t="n">
        <v>83</v>
      </c>
      <c r="N8" s="0" t="n">
        <v>85</v>
      </c>
      <c r="O8" s="0" t="n">
        <v>69</v>
      </c>
      <c r="P8" s="0" t="n">
        <v>89</v>
      </c>
      <c r="Q8" s="0" t="n">
        <v>63</v>
      </c>
      <c r="R8" s="0" t="n">
        <v>94</v>
      </c>
      <c r="S8" s="0" t="n">
        <v>90</v>
      </c>
      <c r="T8" s="0" t="n">
        <v>58</v>
      </c>
      <c r="U8" s="0" t="n">
        <v>54</v>
      </c>
      <c r="V8" s="0" t="n">
        <v>54</v>
      </c>
      <c r="W8" s="0" t="n">
        <v>90</v>
      </c>
      <c r="X8" s="0" t="n">
        <v>58</v>
      </c>
      <c r="Y8" s="0" t="n">
        <v>58</v>
      </c>
      <c r="Z8" s="0" t="n">
        <v>92</v>
      </c>
      <c r="AA8" s="0" t="n">
        <v>85</v>
      </c>
      <c r="AB8" s="0" t="n">
        <v>80</v>
      </c>
      <c r="AC8" s="0" t="n">
        <v>77</v>
      </c>
      <c r="AD8" s="0" t="n">
        <v>79</v>
      </c>
      <c r="AE8" s="0" t="n">
        <v>9153</v>
      </c>
      <c r="AF8" s="0" t="n">
        <v>2004485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86</v>
      </c>
    </row>
    <row r="9" customFormat="false" ht="15" hidden="false" customHeight="false" outlineLevel="0" collapsed="false">
      <c r="A9" s="0" t="s">
        <v>350</v>
      </c>
      <c r="B9" s="0" t="s">
        <v>351</v>
      </c>
      <c r="C9" s="0" t="s">
        <v>42</v>
      </c>
      <c r="D9" s="0" t="s">
        <v>36</v>
      </c>
      <c r="E9" s="0" t="n">
        <v>5</v>
      </c>
      <c r="F9" s="0" t="n">
        <v>2003</v>
      </c>
      <c r="G9" s="0" t="n">
        <v>4</v>
      </c>
      <c r="H9" s="0" t="n">
        <v>26</v>
      </c>
      <c r="J9" s="0" t="n">
        <v>1.88</v>
      </c>
      <c r="K9" s="0" t="n">
        <v>82</v>
      </c>
      <c r="L9" s="0" t="n">
        <v>79</v>
      </c>
      <c r="M9" s="0" t="n">
        <v>82</v>
      </c>
      <c r="N9" s="0" t="n">
        <v>67</v>
      </c>
      <c r="O9" s="0" t="n">
        <v>89</v>
      </c>
      <c r="P9" s="0" t="n">
        <v>86</v>
      </c>
      <c r="Q9" s="0" t="n">
        <v>65</v>
      </c>
      <c r="R9" s="0" t="n">
        <v>85</v>
      </c>
      <c r="S9" s="0" t="n">
        <v>74</v>
      </c>
      <c r="T9" s="0" t="n">
        <v>59</v>
      </c>
      <c r="U9" s="0" t="n">
        <v>58</v>
      </c>
      <c r="V9" s="0" t="n">
        <v>58</v>
      </c>
      <c r="W9" s="0" t="n">
        <v>79</v>
      </c>
      <c r="X9" s="0" t="n">
        <v>57</v>
      </c>
      <c r="Y9" s="0" t="n">
        <v>64</v>
      </c>
      <c r="Z9" s="0" t="n">
        <v>91</v>
      </c>
      <c r="AA9" s="0" t="n">
        <v>84</v>
      </c>
      <c r="AB9" s="0" t="n">
        <v>78</v>
      </c>
      <c r="AC9" s="0" t="n">
        <v>77</v>
      </c>
      <c r="AD9" s="0" t="n">
        <v>78</v>
      </c>
      <c r="AE9" s="0" t="n">
        <v>5569</v>
      </c>
      <c r="AF9" s="0" t="n">
        <v>2002140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81</v>
      </c>
    </row>
    <row r="10" customFormat="false" ht="15" hidden="false" customHeight="false" outlineLevel="0" collapsed="false">
      <c r="A10" s="0" t="s">
        <v>352</v>
      </c>
      <c r="B10" s="0" t="s">
        <v>353</v>
      </c>
      <c r="C10" s="0" t="s">
        <v>52</v>
      </c>
      <c r="D10" s="0" t="s">
        <v>36</v>
      </c>
      <c r="E10" s="0" t="n">
        <v>3</v>
      </c>
      <c r="F10" s="0" t="n">
        <v>2002</v>
      </c>
      <c r="G10" s="0" t="n">
        <v>10</v>
      </c>
      <c r="H10" s="0" t="n">
        <v>13</v>
      </c>
      <c r="J10" s="0" t="n">
        <v>2.06</v>
      </c>
      <c r="K10" s="0" t="n">
        <v>111</v>
      </c>
      <c r="L10" s="0" t="n">
        <v>89</v>
      </c>
      <c r="M10" s="0" t="n">
        <v>69</v>
      </c>
      <c r="N10" s="0" t="n">
        <v>52</v>
      </c>
      <c r="O10" s="0" t="n">
        <v>60</v>
      </c>
      <c r="P10" s="0" t="n">
        <v>80</v>
      </c>
      <c r="Q10" s="0" t="n">
        <v>84</v>
      </c>
      <c r="R10" s="0" t="n">
        <v>56</v>
      </c>
      <c r="S10" s="0" t="n">
        <v>60</v>
      </c>
      <c r="T10" s="0" t="n">
        <v>82</v>
      </c>
      <c r="U10" s="0" t="n">
        <v>93</v>
      </c>
      <c r="V10" s="0" t="n">
        <v>89</v>
      </c>
      <c r="W10" s="0" t="n">
        <v>62</v>
      </c>
      <c r="X10" s="0" t="n">
        <v>90</v>
      </c>
      <c r="Y10" s="0" t="n">
        <v>73</v>
      </c>
      <c r="Z10" s="0" t="n">
        <v>56</v>
      </c>
      <c r="AA10" s="0" t="n">
        <v>86</v>
      </c>
      <c r="AB10" s="0" t="n">
        <v>88</v>
      </c>
      <c r="AC10" s="0" t="n">
        <v>70</v>
      </c>
      <c r="AD10" s="0" t="n">
        <v>72</v>
      </c>
      <c r="AE10" s="0" t="n">
        <v>9152</v>
      </c>
      <c r="AF10" s="0" t="n">
        <v>2004484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82</v>
      </c>
    </row>
    <row r="11" customFormat="false" ht="15" hidden="false" customHeight="false" outlineLevel="0" collapsed="false">
      <c r="A11" s="0" t="s">
        <v>354</v>
      </c>
      <c r="B11" s="0" t="s">
        <v>355</v>
      </c>
      <c r="C11" s="0" t="s">
        <v>52</v>
      </c>
      <c r="D11" s="0" t="s">
        <v>36</v>
      </c>
      <c r="E11" s="0" t="n">
        <v>26</v>
      </c>
      <c r="F11" s="0" t="n">
        <v>2008</v>
      </c>
      <c r="G11" s="0" t="n">
        <v>12</v>
      </c>
      <c r="H11" s="0" t="n">
        <v>2</v>
      </c>
      <c r="J11" s="0" t="n">
        <v>2.05</v>
      </c>
      <c r="K11" s="0" t="n">
        <v>101</v>
      </c>
      <c r="L11" s="0" t="n">
        <v>83</v>
      </c>
      <c r="M11" s="0" t="n">
        <v>66</v>
      </c>
      <c r="N11" s="0" t="n">
        <v>70</v>
      </c>
      <c r="O11" s="0" t="n">
        <v>68</v>
      </c>
      <c r="P11" s="0" t="n">
        <v>74</v>
      </c>
      <c r="Q11" s="0" t="n">
        <v>83</v>
      </c>
      <c r="R11" s="0" t="n">
        <v>54</v>
      </c>
      <c r="S11" s="0" t="n">
        <v>55</v>
      </c>
      <c r="T11" s="0" t="n">
        <v>78</v>
      </c>
      <c r="U11" s="0" t="n">
        <v>85</v>
      </c>
      <c r="V11" s="0" t="n">
        <v>83</v>
      </c>
      <c r="W11" s="0" t="n">
        <v>59</v>
      </c>
      <c r="X11" s="0" t="n">
        <v>87</v>
      </c>
      <c r="Y11" s="0" t="n">
        <v>84</v>
      </c>
      <c r="Z11" s="0" t="n">
        <v>60</v>
      </c>
      <c r="AA11" s="0" t="n">
        <v>83</v>
      </c>
      <c r="AB11" s="0" t="n">
        <v>85</v>
      </c>
      <c r="AC11" s="0" t="n">
        <v>62</v>
      </c>
      <c r="AD11" s="0" t="n">
        <v>64</v>
      </c>
      <c r="AE11" s="0" t="n">
        <v>5097</v>
      </c>
      <c r="AF11" s="0" t="n">
        <v>2001051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79</v>
      </c>
    </row>
    <row r="12" customFormat="false" ht="15" hidden="false" customHeight="false" outlineLevel="0" collapsed="false">
      <c r="A12" s="0" t="s">
        <v>356</v>
      </c>
      <c r="B12" s="0" t="s">
        <v>357</v>
      </c>
      <c r="C12" s="0" t="s">
        <v>35</v>
      </c>
      <c r="D12" s="0" t="s">
        <v>36</v>
      </c>
      <c r="E12" s="0" t="n">
        <v>12</v>
      </c>
      <c r="F12" s="0" t="n">
        <v>2009</v>
      </c>
      <c r="G12" s="0" t="n">
        <v>2</v>
      </c>
      <c r="H12" s="0" t="n">
        <v>5</v>
      </c>
      <c r="J12" s="0" t="n">
        <v>1.88</v>
      </c>
      <c r="K12" s="0" t="n">
        <v>75</v>
      </c>
      <c r="L12" s="0" t="n">
        <v>70</v>
      </c>
      <c r="M12" s="0" t="n">
        <v>75</v>
      </c>
      <c r="N12" s="0" t="n">
        <v>70</v>
      </c>
      <c r="O12" s="0" t="n">
        <v>80</v>
      </c>
      <c r="P12" s="0" t="n">
        <v>81</v>
      </c>
      <c r="Q12" s="0" t="n">
        <v>57</v>
      </c>
      <c r="R12" s="0" t="n">
        <v>86</v>
      </c>
      <c r="S12" s="0" t="n">
        <v>80</v>
      </c>
      <c r="T12" s="0" t="n">
        <v>50</v>
      </c>
      <c r="U12" s="0" t="n">
        <v>50</v>
      </c>
      <c r="V12" s="0" t="n">
        <v>50</v>
      </c>
      <c r="W12" s="0" t="n">
        <v>82</v>
      </c>
      <c r="X12" s="0" t="n">
        <v>50</v>
      </c>
      <c r="Y12" s="0" t="n">
        <v>50</v>
      </c>
      <c r="Z12" s="0" t="n">
        <v>90</v>
      </c>
      <c r="AA12" s="0" t="n">
        <v>77</v>
      </c>
      <c r="AB12" s="0" t="n">
        <v>72</v>
      </c>
      <c r="AC12" s="0" t="n">
        <v>65</v>
      </c>
      <c r="AD12" s="0" t="n">
        <v>65</v>
      </c>
      <c r="AE12" s="0" t="n">
        <v>9193</v>
      </c>
      <c r="AF12" s="0" t="n">
        <v>2005108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75</v>
      </c>
    </row>
    <row r="13" customFormat="false" ht="15" hidden="false" customHeight="false" outlineLevel="0" collapsed="false">
      <c r="A13" s="0" t="s">
        <v>358</v>
      </c>
      <c r="B13" s="0" t="s">
        <v>359</v>
      </c>
      <c r="C13" s="0" t="s">
        <v>52</v>
      </c>
      <c r="D13" s="0" t="s">
        <v>36</v>
      </c>
      <c r="E13" s="0" t="n">
        <v>11</v>
      </c>
      <c r="F13" s="0" t="n">
        <v>2009</v>
      </c>
      <c r="G13" s="0" t="n">
        <v>7</v>
      </c>
      <c r="H13" s="0" t="n">
        <v>15</v>
      </c>
      <c r="J13" s="0" t="n">
        <v>2.02</v>
      </c>
      <c r="K13" s="0" t="n">
        <v>93</v>
      </c>
      <c r="L13" s="0" t="n">
        <v>79</v>
      </c>
      <c r="M13" s="0" t="n">
        <v>62</v>
      </c>
      <c r="N13" s="0" t="n">
        <v>50</v>
      </c>
      <c r="O13" s="0" t="n">
        <v>62</v>
      </c>
      <c r="P13" s="0" t="n">
        <v>70</v>
      </c>
      <c r="Q13" s="0" t="n">
        <v>79</v>
      </c>
      <c r="R13" s="0" t="n">
        <v>50</v>
      </c>
      <c r="S13" s="0" t="n">
        <v>51</v>
      </c>
      <c r="T13" s="0" t="n">
        <v>74</v>
      </c>
      <c r="U13" s="0" t="n">
        <v>79</v>
      </c>
      <c r="V13" s="0" t="n">
        <v>79</v>
      </c>
      <c r="W13" s="0" t="n">
        <v>55</v>
      </c>
      <c r="X13" s="0" t="n">
        <v>80</v>
      </c>
      <c r="Y13" s="0" t="n">
        <v>80</v>
      </c>
      <c r="Z13" s="0" t="n">
        <v>56</v>
      </c>
      <c r="AA13" s="0" t="n">
        <v>79</v>
      </c>
      <c r="AB13" s="0" t="n">
        <v>78</v>
      </c>
      <c r="AC13" s="0" t="n">
        <v>58</v>
      </c>
      <c r="AD13" s="0" t="n">
        <v>60</v>
      </c>
      <c r="AE13" s="0" t="n">
        <v>9192</v>
      </c>
      <c r="AF13" s="0" t="n">
        <v>2005107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360</v>
      </c>
      <c r="B2" s="0" t="s">
        <v>361</v>
      </c>
      <c r="C2" s="0" t="s">
        <v>35</v>
      </c>
      <c r="D2" s="0" t="s">
        <v>36</v>
      </c>
      <c r="E2" s="0" t="n">
        <v>4</v>
      </c>
      <c r="F2" s="0" t="n">
        <v>1999</v>
      </c>
      <c r="G2" s="0" t="n">
        <v>7</v>
      </c>
      <c r="H2" s="0" t="n">
        <v>5</v>
      </c>
      <c r="J2" s="0" t="n">
        <v>1.79</v>
      </c>
      <c r="K2" s="0" t="n">
        <v>83</v>
      </c>
      <c r="L2" s="0" t="n">
        <v>85</v>
      </c>
      <c r="M2" s="0" t="n">
        <v>90</v>
      </c>
      <c r="N2" s="0" t="n">
        <v>67</v>
      </c>
      <c r="O2" s="0" t="n">
        <v>96</v>
      </c>
      <c r="P2" s="0" t="n">
        <v>97</v>
      </c>
      <c r="Q2" s="0" t="n">
        <v>67</v>
      </c>
      <c r="R2" s="0" t="n">
        <v>99</v>
      </c>
      <c r="S2" s="0" t="n">
        <v>99</v>
      </c>
      <c r="T2" s="0" t="n">
        <v>64</v>
      </c>
      <c r="U2" s="0" t="n">
        <v>55</v>
      </c>
      <c r="V2" s="0" t="n">
        <v>55</v>
      </c>
      <c r="W2" s="0" t="n">
        <v>97</v>
      </c>
      <c r="X2" s="0" t="n">
        <v>61</v>
      </c>
      <c r="Y2" s="0" t="n">
        <v>61</v>
      </c>
      <c r="Z2" s="0" t="n">
        <v>99</v>
      </c>
      <c r="AA2" s="0" t="n">
        <v>88</v>
      </c>
      <c r="AB2" s="0" t="n">
        <v>83</v>
      </c>
      <c r="AC2" s="0" t="n">
        <v>80</v>
      </c>
      <c r="AD2" s="0" t="n">
        <v>84</v>
      </c>
      <c r="AE2" s="0" t="n">
        <v>9103</v>
      </c>
      <c r="AF2" s="0" t="n">
        <v>2002947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93</v>
      </c>
    </row>
    <row r="3" customFormat="false" ht="15" hidden="false" customHeight="false" outlineLevel="0" collapsed="false">
      <c r="A3" s="0" t="s">
        <v>362</v>
      </c>
      <c r="B3" s="0" t="s">
        <v>363</v>
      </c>
      <c r="C3" s="0" t="s">
        <v>35</v>
      </c>
      <c r="D3" s="0" t="s">
        <v>36</v>
      </c>
      <c r="E3" s="0" t="n">
        <v>2</v>
      </c>
      <c r="F3" s="0" t="n">
        <v>1998</v>
      </c>
      <c r="G3" s="0" t="n">
        <v>12</v>
      </c>
      <c r="H3" s="0" t="n">
        <v>22</v>
      </c>
      <c r="J3" s="0" t="n">
        <v>1.83</v>
      </c>
      <c r="K3" s="0" t="n">
        <v>81</v>
      </c>
      <c r="L3" s="0" t="n">
        <v>83</v>
      </c>
      <c r="M3" s="0" t="n">
        <v>88</v>
      </c>
      <c r="N3" s="0" t="n">
        <v>83</v>
      </c>
      <c r="O3" s="0" t="n">
        <v>99</v>
      </c>
      <c r="P3" s="0" t="n">
        <v>95</v>
      </c>
      <c r="Q3" s="0" t="n">
        <v>66</v>
      </c>
      <c r="R3" s="0" t="n">
        <v>96</v>
      </c>
      <c r="S3" s="0" t="n">
        <v>93</v>
      </c>
      <c r="T3" s="0" t="n">
        <v>62</v>
      </c>
      <c r="U3" s="0" t="n">
        <v>55</v>
      </c>
      <c r="V3" s="0" t="n">
        <v>55</v>
      </c>
      <c r="W3" s="0" t="n">
        <v>97</v>
      </c>
      <c r="X3" s="0" t="n">
        <v>61</v>
      </c>
      <c r="Y3" s="0" t="n">
        <v>61</v>
      </c>
      <c r="Z3" s="0" t="n">
        <v>99</v>
      </c>
      <c r="AA3" s="0" t="n">
        <v>88</v>
      </c>
      <c r="AB3" s="0" t="n">
        <v>83</v>
      </c>
      <c r="AC3" s="0" t="n">
        <v>80</v>
      </c>
      <c r="AD3" s="0" t="n">
        <v>81</v>
      </c>
      <c r="AE3" s="0" t="n">
        <v>9077</v>
      </c>
      <c r="AF3" s="0" t="n">
        <v>2004014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92</v>
      </c>
    </row>
    <row r="4" customFormat="false" ht="15" hidden="false" customHeight="false" outlineLevel="0" collapsed="false">
      <c r="A4" s="0" t="s">
        <v>364</v>
      </c>
      <c r="B4" s="0" t="s">
        <v>365</v>
      </c>
      <c r="C4" s="0" t="s">
        <v>35</v>
      </c>
      <c r="D4" s="0" t="s">
        <v>36</v>
      </c>
      <c r="E4" s="0" t="n">
        <v>22</v>
      </c>
      <c r="F4" s="0" t="n">
        <v>1993</v>
      </c>
      <c r="G4" s="0" t="n">
        <v>12</v>
      </c>
      <c r="H4" s="0" t="n">
        <v>13</v>
      </c>
      <c r="J4" s="0" t="n">
        <v>1.93</v>
      </c>
      <c r="K4" s="0" t="n">
        <v>85</v>
      </c>
      <c r="L4" s="0" t="n">
        <v>82</v>
      </c>
      <c r="M4" s="0" t="n">
        <v>87</v>
      </c>
      <c r="N4" s="0" t="n">
        <v>89</v>
      </c>
      <c r="O4" s="0" t="n">
        <v>95</v>
      </c>
      <c r="P4" s="0" t="n">
        <v>90</v>
      </c>
      <c r="Q4" s="0" t="n">
        <v>68</v>
      </c>
      <c r="R4" s="0" t="n">
        <v>95</v>
      </c>
      <c r="S4" s="0" t="n">
        <v>97</v>
      </c>
      <c r="T4" s="0" t="n">
        <v>61</v>
      </c>
      <c r="U4" s="0" t="n">
        <v>60</v>
      </c>
      <c r="V4" s="0" t="n">
        <v>60</v>
      </c>
      <c r="W4" s="0" t="n">
        <v>95</v>
      </c>
      <c r="X4" s="0" t="n">
        <v>60</v>
      </c>
      <c r="Y4" s="0" t="n">
        <v>62</v>
      </c>
      <c r="Z4" s="0" t="n">
        <v>89</v>
      </c>
      <c r="AA4" s="0" t="n">
        <v>84</v>
      </c>
      <c r="AB4" s="0" t="n">
        <v>82</v>
      </c>
      <c r="AC4" s="0" t="n">
        <v>84</v>
      </c>
      <c r="AD4" s="0" t="n">
        <v>86</v>
      </c>
      <c r="AE4" s="0" t="n">
        <v>9199</v>
      </c>
      <c r="AF4" s="0" t="n">
        <v>2005310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92</v>
      </c>
    </row>
    <row r="5" customFormat="false" ht="15" hidden="false" customHeight="false" outlineLevel="0" collapsed="false">
      <c r="A5" s="0" t="s">
        <v>366</v>
      </c>
      <c r="B5" s="0" t="s">
        <v>367</v>
      </c>
      <c r="C5" s="0" t="s">
        <v>52</v>
      </c>
      <c r="D5" s="0" t="s">
        <v>36</v>
      </c>
      <c r="E5" s="0" t="n">
        <v>23</v>
      </c>
      <c r="F5" s="0" t="n">
        <v>1992</v>
      </c>
      <c r="G5" s="0" t="n">
        <v>5</v>
      </c>
      <c r="H5" s="0" t="n">
        <v>30</v>
      </c>
      <c r="J5" s="0" t="n">
        <v>2.09</v>
      </c>
      <c r="K5" s="0" t="n">
        <v>113</v>
      </c>
      <c r="L5" s="0" t="n">
        <v>94</v>
      </c>
      <c r="M5" s="0" t="n">
        <v>74</v>
      </c>
      <c r="N5" s="0" t="n">
        <v>62</v>
      </c>
      <c r="O5" s="0" t="n">
        <v>69</v>
      </c>
      <c r="P5" s="0" t="n">
        <v>85</v>
      </c>
      <c r="Q5" s="0" t="n">
        <v>88</v>
      </c>
      <c r="R5" s="0" t="n">
        <v>59</v>
      </c>
      <c r="S5" s="0" t="n">
        <v>65</v>
      </c>
      <c r="T5" s="0" t="n">
        <v>86</v>
      </c>
      <c r="U5" s="0" t="n">
        <v>96</v>
      </c>
      <c r="V5" s="0" t="n">
        <v>92</v>
      </c>
      <c r="W5" s="0" t="n">
        <v>65</v>
      </c>
      <c r="X5" s="0" t="n">
        <v>96</v>
      </c>
      <c r="Y5" s="0" t="n">
        <v>98</v>
      </c>
      <c r="Z5" s="0" t="n">
        <v>56</v>
      </c>
      <c r="AA5" s="0" t="n">
        <v>86</v>
      </c>
      <c r="AB5" s="0" t="n">
        <v>94</v>
      </c>
      <c r="AC5" s="0" t="n">
        <v>77</v>
      </c>
      <c r="AD5" s="0" t="n">
        <v>81</v>
      </c>
      <c r="AE5" s="0" t="n">
        <v>5106</v>
      </c>
      <c r="AF5" s="0" t="n">
        <v>2001322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92</v>
      </c>
    </row>
    <row r="6" customFormat="false" ht="15" hidden="false" customHeight="false" outlineLevel="0" collapsed="false">
      <c r="A6" s="0" t="s">
        <v>368</v>
      </c>
      <c r="B6" s="0" t="s">
        <v>369</v>
      </c>
      <c r="C6" s="0" t="s">
        <v>52</v>
      </c>
      <c r="D6" s="0" t="s">
        <v>36</v>
      </c>
      <c r="E6" s="0" t="n">
        <v>21</v>
      </c>
      <c r="F6" s="0" t="n">
        <v>2001</v>
      </c>
      <c r="G6" s="0" t="n">
        <v>7</v>
      </c>
      <c r="H6" s="0" t="n">
        <v>3</v>
      </c>
      <c r="J6" s="0" t="n">
        <v>2.08</v>
      </c>
      <c r="K6" s="0" t="n">
        <v>114</v>
      </c>
      <c r="L6" s="0" t="n">
        <v>94</v>
      </c>
      <c r="M6" s="0" t="n">
        <v>74</v>
      </c>
      <c r="N6" s="0" t="n">
        <v>62</v>
      </c>
      <c r="O6" s="0" t="n">
        <v>60</v>
      </c>
      <c r="P6" s="0" t="n">
        <v>85</v>
      </c>
      <c r="Q6" s="0" t="n">
        <v>88</v>
      </c>
      <c r="R6" s="0" t="n">
        <v>60</v>
      </c>
      <c r="S6" s="0" t="n">
        <v>63</v>
      </c>
      <c r="T6" s="0" t="n">
        <v>86</v>
      </c>
      <c r="U6" s="0" t="n">
        <v>96</v>
      </c>
      <c r="V6" s="0" t="n">
        <v>92</v>
      </c>
      <c r="W6" s="0" t="n">
        <v>76</v>
      </c>
      <c r="X6" s="0" t="n">
        <v>93</v>
      </c>
      <c r="Y6" s="0" t="n">
        <v>73</v>
      </c>
      <c r="Z6" s="0" t="n">
        <v>59</v>
      </c>
      <c r="AA6" s="0" t="n">
        <v>89</v>
      </c>
      <c r="AB6" s="0" t="n">
        <v>91</v>
      </c>
      <c r="AC6" s="0" t="n">
        <v>75</v>
      </c>
      <c r="AD6" s="0" t="n">
        <v>77</v>
      </c>
      <c r="AE6" s="0" t="n">
        <v>9098</v>
      </c>
      <c r="AF6" s="0" t="n">
        <v>2004189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87</v>
      </c>
    </row>
    <row r="7" customFormat="false" ht="15" hidden="false" customHeight="false" outlineLevel="0" collapsed="false">
      <c r="A7" s="0" t="s">
        <v>370</v>
      </c>
      <c r="B7" s="0" t="s">
        <v>371</v>
      </c>
      <c r="C7" s="0" t="s">
        <v>45</v>
      </c>
      <c r="D7" s="0" t="s">
        <v>36</v>
      </c>
      <c r="E7" s="0" t="n">
        <v>12</v>
      </c>
      <c r="F7" s="0" t="n">
        <v>2000</v>
      </c>
      <c r="G7" s="0" t="n">
        <v>1</v>
      </c>
      <c r="H7" s="0" t="n">
        <v>1</v>
      </c>
      <c r="J7" s="0" t="n">
        <v>1.98</v>
      </c>
      <c r="K7" s="0" t="n">
        <v>96</v>
      </c>
      <c r="L7" s="0" t="n">
        <v>87</v>
      </c>
      <c r="M7" s="0" t="n">
        <v>84</v>
      </c>
      <c r="N7" s="0" t="n">
        <v>67</v>
      </c>
      <c r="O7" s="0" t="n">
        <v>69</v>
      </c>
      <c r="P7" s="0" t="n">
        <v>91</v>
      </c>
      <c r="Q7" s="0" t="n">
        <v>77</v>
      </c>
      <c r="R7" s="0" t="n">
        <v>79</v>
      </c>
      <c r="S7" s="0" t="n">
        <v>73</v>
      </c>
      <c r="T7" s="0" t="n">
        <v>66</v>
      </c>
      <c r="U7" s="0" t="n">
        <v>76</v>
      </c>
      <c r="V7" s="0" t="n">
        <v>69</v>
      </c>
      <c r="W7" s="0" t="n">
        <v>76</v>
      </c>
      <c r="X7" s="0" t="n">
        <v>71</v>
      </c>
      <c r="Y7" s="0" t="n">
        <v>69</v>
      </c>
      <c r="Z7" s="0" t="n">
        <v>84</v>
      </c>
      <c r="AA7" s="0" t="n">
        <v>85</v>
      </c>
      <c r="AB7" s="0" t="n">
        <v>81</v>
      </c>
      <c r="AC7" s="0" t="n">
        <v>79</v>
      </c>
      <c r="AD7" s="0" t="n">
        <v>81</v>
      </c>
      <c r="AE7" s="0" t="n">
        <v>5116</v>
      </c>
      <c r="AF7" s="0" t="n">
        <v>2001526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82</v>
      </c>
    </row>
    <row r="8" customFormat="false" ht="15" hidden="false" customHeight="false" outlineLevel="0" collapsed="false">
      <c r="A8" s="0" t="s">
        <v>372</v>
      </c>
      <c r="B8" s="0" t="s">
        <v>373</v>
      </c>
      <c r="C8" s="0" t="s">
        <v>39</v>
      </c>
      <c r="D8" s="0" t="s">
        <v>36</v>
      </c>
      <c r="E8" s="0" t="n">
        <v>33</v>
      </c>
      <c r="F8" s="0" t="n">
        <v>2002</v>
      </c>
      <c r="G8" s="0" t="n">
        <v>8</v>
      </c>
      <c r="H8" s="0" t="n">
        <v>12</v>
      </c>
      <c r="J8" s="0" t="n">
        <v>2.06</v>
      </c>
      <c r="K8" s="0" t="n">
        <v>104</v>
      </c>
      <c r="L8" s="0" t="n">
        <v>84</v>
      </c>
      <c r="M8" s="0" t="n">
        <v>76</v>
      </c>
      <c r="N8" s="0" t="n">
        <v>72</v>
      </c>
      <c r="O8" s="0" t="n">
        <v>74</v>
      </c>
      <c r="P8" s="0" t="n">
        <v>81</v>
      </c>
      <c r="Q8" s="0" t="n">
        <v>81</v>
      </c>
      <c r="R8" s="0" t="n">
        <v>67</v>
      </c>
      <c r="S8" s="0" t="n">
        <v>69</v>
      </c>
      <c r="T8" s="0" t="n">
        <v>80</v>
      </c>
      <c r="U8" s="0" t="n">
        <v>87</v>
      </c>
      <c r="V8" s="0" t="n">
        <v>82</v>
      </c>
      <c r="W8" s="0" t="n">
        <v>76</v>
      </c>
      <c r="X8" s="0" t="n">
        <v>87</v>
      </c>
      <c r="Y8" s="0" t="n">
        <v>93</v>
      </c>
      <c r="Z8" s="0" t="n">
        <v>71</v>
      </c>
      <c r="AA8" s="0" t="n">
        <v>86</v>
      </c>
      <c r="AB8" s="0" t="n">
        <v>86</v>
      </c>
      <c r="AC8" s="0" t="n">
        <v>78</v>
      </c>
      <c r="AD8" s="0" t="n">
        <v>76</v>
      </c>
      <c r="AE8" s="0" t="n">
        <v>9080</v>
      </c>
      <c r="AF8" s="0" t="n">
        <v>2004017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84</v>
      </c>
    </row>
    <row r="9" customFormat="false" ht="15" hidden="false" customHeight="false" outlineLevel="0" collapsed="false">
      <c r="A9" s="0" t="s">
        <v>374</v>
      </c>
      <c r="B9" s="0" t="s">
        <v>134</v>
      </c>
      <c r="C9" s="0" t="s">
        <v>42</v>
      </c>
      <c r="D9" s="0" t="s">
        <v>36</v>
      </c>
      <c r="E9" s="0" t="n">
        <v>3</v>
      </c>
      <c r="F9" s="0" t="n">
        <v>2001</v>
      </c>
      <c r="G9" s="0" t="n">
        <v>11</v>
      </c>
      <c r="H9" s="0" t="n">
        <v>7</v>
      </c>
      <c r="J9" s="0" t="n">
        <v>1.91</v>
      </c>
      <c r="K9" s="0" t="n">
        <v>95</v>
      </c>
      <c r="L9" s="0" t="n">
        <v>83</v>
      </c>
      <c r="M9" s="0" t="n">
        <v>86</v>
      </c>
      <c r="N9" s="0" t="n">
        <v>88</v>
      </c>
      <c r="O9" s="0" t="n">
        <v>86</v>
      </c>
      <c r="P9" s="0" t="n">
        <v>90</v>
      </c>
      <c r="Q9" s="0" t="n">
        <v>68</v>
      </c>
      <c r="R9" s="0" t="n">
        <v>86</v>
      </c>
      <c r="S9" s="0" t="n">
        <v>76</v>
      </c>
      <c r="T9" s="0" t="n">
        <v>62</v>
      </c>
      <c r="U9" s="0" t="n">
        <v>62</v>
      </c>
      <c r="V9" s="0" t="n">
        <v>60</v>
      </c>
      <c r="W9" s="0" t="n">
        <v>81</v>
      </c>
      <c r="X9" s="0" t="n">
        <v>62</v>
      </c>
      <c r="Y9" s="0" t="n">
        <v>64</v>
      </c>
      <c r="Z9" s="0" t="n">
        <v>91</v>
      </c>
      <c r="AA9" s="0" t="n">
        <v>86</v>
      </c>
      <c r="AB9" s="0" t="n">
        <v>83</v>
      </c>
      <c r="AC9" s="0" t="n">
        <v>78</v>
      </c>
      <c r="AD9" s="0" t="n">
        <v>80</v>
      </c>
      <c r="AE9" s="0" t="n">
        <v>9079</v>
      </c>
      <c r="AF9" s="0" t="n">
        <v>2004016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85</v>
      </c>
    </row>
    <row r="10" customFormat="false" ht="15" hidden="false" customHeight="false" outlineLevel="0" collapsed="false">
      <c r="A10" s="0" t="s">
        <v>375</v>
      </c>
      <c r="B10" s="0" t="s">
        <v>376</v>
      </c>
      <c r="C10" s="0" t="s">
        <v>39</v>
      </c>
      <c r="D10" s="0" t="s">
        <v>36</v>
      </c>
      <c r="E10" s="0" t="n">
        <v>7</v>
      </c>
      <c r="F10" s="0" t="n">
        <v>1999</v>
      </c>
      <c r="G10" s="0" t="n">
        <v>9</v>
      </c>
      <c r="H10" s="0" t="n">
        <v>30</v>
      </c>
      <c r="J10" s="0" t="n">
        <v>2.03</v>
      </c>
      <c r="K10" s="0" t="n">
        <v>99</v>
      </c>
      <c r="L10" s="0" t="n">
        <v>93</v>
      </c>
      <c r="M10" s="0" t="n">
        <v>75</v>
      </c>
      <c r="N10" s="0" t="n">
        <v>78</v>
      </c>
      <c r="O10" s="0" t="n">
        <v>69</v>
      </c>
      <c r="P10" s="0" t="n">
        <v>90</v>
      </c>
      <c r="Q10" s="0" t="n">
        <v>80</v>
      </c>
      <c r="R10" s="0" t="n">
        <v>66</v>
      </c>
      <c r="S10" s="0" t="n">
        <v>68</v>
      </c>
      <c r="T10" s="0" t="n">
        <v>82</v>
      </c>
      <c r="U10" s="0" t="n">
        <v>84</v>
      </c>
      <c r="V10" s="0" t="n">
        <v>78</v>
      </c>
      <c r="W10" s="0" t="n">
        <v>68</v>
      </c>
      <c r="X10" s="0" t="n">
        <v>92</v>
      </c>
      <c r="Y10" s="0" t="n">
        <v>69</v>
      </c>
      <c r="Z10" s="0" t="n">
        <v>70</v>
      </c>
      <c r="AA10" s="0" t="n">
        <v>85</v>
      </c>
      <c r="AB10" s="0" t="n">
        <v>91</v>
      </c>
      <c r="AC10" s="0" t="n">
        <v>74</v>
      </c>
      <c r="AD10" s="0" t="n">
        <v>75</v>
      </c>
      <c r="AE10" s="0" t="n">
        <v>5133</v>
      </c>
      <c r="AF10" s="0" t="n">
        <v>2001572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81</v>
      </c>
    </row>
    <row r="11" customFormat="false" ht="15" hidden="false" customHeight="false" outlineLevel="0" collapsed="false">
      <c r="A11" s="0" t="s">
        <v>377</v>
      </c>
      <c r="B11" s="0" t="s">
        <v>378</v>
      </c>
      <c r="C11" s="0" t="s">
        <v>39</v>
      </c>
      <c r="D11" s="0" t="s">
        <v>36</v>
      </c>
      <c r="E11" s="0" t="n">
        <v>11</v>
      </c>
      <c r="F11" s="0" t="n">
        <v>2001</v>
      </c>
      <c r="G11" s="0" t="n">
        <v>5</v>
      </c>
      <c r="H11" s="0" t="n">
        <v>21</v>
      </c>
      <c r="J11" s="0" t="n">
        <v>2.03</v>
      </c>
      <c r="K11" s="0" t="n">
        <v>100</v>
      </c>
      <c r="L11" s="0" t="n">
        <v>83</v>
      </c>
      <c r="M11" s="0" t="n">
        <v>75</v>
      </c>
      <c r="N11" s="0" t="n">
        <v>71</v>
      </c>
      <c r="O11" s="0" t="n">
        <v>60</v>
      </c>
      <c r="P11" s="0" t="n">
        <v>80</v>
      </c>
      <c r="Q11" s="0" t="n">
        <v>80</v>
      </c>
      <c r="R11" s="0" t="n">
        <v>66</v>
      </c>
      <c r="S11" s="0" t="n">
        <v>68</v>
      </c>
      <c r="T11" s="0" t="n">
        <v>79</v>
      </c>
      <c r="U11" s="0" t="n">
        <v>84</v>
      </c>
      <c r="V11" s="0" t="n">
        <v>78</v>
      </c>
      <c r="W11" s="0" t="n">
        <v>68</v>
      </c>
      <c r="X11" s="0" t="n">
        <v>86</v>
      </c>
      <c r="Y11" s="0" t="n">
        <v>69</v>
      </c>
      <c r="Z11" s="0" t="n">
        <v>70</v>
      </c>
      <c r="AA11" s="0" t="n">
        <v>85</v>
      </c>
      <c r="AB11" s="0" t="n">
        <v>85</v>
      </c>
      <c r="AC11" s="0" t="n">
        <v>74</v>
      </c>
      <c r="AD11" s="0" t="n">
        <v>75</v>
      </c>
      <c r="AE11" s="0" t="n">
        <v>9421</v>
      </c>
      <c r="AF11" s="0" t="n">
        <v>2003099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79</v>
      </c>
    </row>
    <row r="12" customFormat="false" ht="15" hidden="false" customHeight="false" outlineLevel="0" collapsed="false">
      <c r="A12" s="0" t="s">
        <v>257</v>
      </c>
      <c r="B12" s="0" t="s">
        <v>379</v>
      </c>
      <c r="C12" s="0" t="s">
        <v>35</v>
      </c>
      <c r="D12" s="0" t="s">
        <v>36</v>
      </c>
      <c r="E12" s="0" t="n">
        <v>1</v>
      </c>
      <c r="F12" s="0" t="n">
        <v>2007</v>
      </c>
      <c r="G12" s="0" t="n">
        <v>3</v>
      </c>
      <c r="H12" s="0" t="n">
        <v>22</v>
      </c>
      <c r="J12" s="0" t="n">
        <v>1.87</v>
      </c>
      <c r="K12" s="0" t="n">
        <v>90</v>
      </c>
      <c r="L12" s="0" t="n">
        <v>77</v>
      </c>
      <c r="M12" s="0" t="n">
        <v>82</v>
      </c>
      <c r="N12" s="0" t="n">
        <v>84</v>
      </c>
      <c r="O12" s="0" t="n">
        <v>69</v>
      </c>
      <c r="P12" s="0" t="n">
        <v>88</v>
      </c>
      <c r="Q12" s="0" t="n">
        <v>64</v>
      </c>
      <c r="R12" s="0" t="n">
        <v>93</v>
      </c>
      <c r="S12" s="0" t="n">
        <v>87</v>
      </c>
      <c r="T12" s="0" t="n">
        <v>57</v>
      </c>
      <c r="U12" s="0" t="n">
        <v>53</v>
      </c>
      <c r="V12" s="0" t="n">
        <v>53</v>
      </c>
      <c r="W12" s="0" t="n">
        <v>89</v>
      </c>
      <c r="X12" s="0" t="n">
        <v>57</v>
      </c>
      <c r="Y12" s="0" t="n">
        <v>57</v>
      </c>
      <c r="Z12" s="0" t="n">
        <v>95</v>
      </c>
      <c r="AA12" s="0" t="n">
        <v>84</v>
      </c>
      <c r="AB12" s="0" t="n">
        <v>79</v>
      </c>
      <c r="AC12" s="0" t="n">
        <v>72</v>
      </c>
      <c r="AD12" s="0" t="n">
        <v>72</v>
      </c>
      <c r="AE12" s="0" t="n">
        <v>9012</v>
      </c>
      <c r="AF12" s="0" t="n">
        <v>1400015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84</v>
      </c>
    </row>
    <row r="13" customFormat="false" ht="15" hidden="false" customHeight="false" outlineLevel="0" collapsed="false">
      <c r="A13" s="0" t="s">
        <v>380</v>
      </c>
      <c r="B13" s="0" t="s">
        <v>381</v>
      </c>
      <c r="C13" s="0" t="s">
        <v>35</v>
      </c>
      <c r="D13" s="0" t="s">
        <v>36</v>
      </c>
      <c r="E13" s="0" t="n">
        <v>0</v>
      </c>
      <c r="F13" s="0" t="n">
        <v>2003</v>
      </c>
      <c r="G13" s="0" t="n">
        <v>10</v>
      </c>
      <c r="H13" s="0" t="n">
        <v>29</v>
      </c>
      <c r="J13" s="0" t="n">
        <v>1.88</v>
      </c>
      <c r="K13" s="0" t="n">
        <v>89</v>
      </c>
      <c r="L13" s="0" t="n">
        <v>73</v>
      </c>
      <c r="M13" s="0" t="n">
        <v>78</v>
      </c>
      <c r="N13" s="0" t="n">
        <v>73</v>
      </c>
      <c r="O13" s="0" t="n">
        <v>83</v>
      </c>
      <c r="P13" s="0" t="n">
        <v>84</v>
      </c>
      <c r="Q13" s="0" t="n">
        <v>58</v>
      </c>
      <c r="R13" s="0" t="n">
        <v>89</v>
      </c>
      <c r="S13" s="0" t="n">
        <v>85</v>
      </c>
      <c r="T13" s="0" t="n">
        <v>53</v>
      </c>
      <c r="U13" s="0" t="n">
        <v>50</v>
      </c>
      <c r="V13" s="0" t="n">
        <v>50</v>
      </c>
      <c r="W13" s="0" t="n">
        <v>85</v>
      </c>
      <c r="X13" s="0" t="n">
        <v>53</v>
      </c>
      <c r="Y13" s="0" t="n">
        <v>53</v>
      </c>
      <c r="Z13" s="0" t="n">
        <v>87</v>
      </c>
      <c r="AA13" s="0" t="n">
        <v>80</v>
      </c>
      <c r="AB13" s="0" t="n">
        <v>75</v>
      </c>
      <c r="AC13" s="0" t="n">
        <v>72</v>
      </c>
      <c r="AD13" s="0" t="n">
        <v>74</v>
      </c>
      <c r="AE13" s="0" t="n">
        <v>9096</v>
      </c>
      <c r="AF13" s="0" t="n">
        <v>2004187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80</v>
      </c>
    </row>
    <row r="14" customFormat="false" ht="15" hidden="false" customHeight="false" outlineLevel="0" collapsed="false">
      <c r="A14" s="0" t="s">
        <v>382</v>
      </c>
      <c r="B14" s="0" t="s">
        <v>383</v>
      </c>
      <c r="C14" s="0" t="s">
        <v>39</v>
      </c>
      <c r="D14" s="0" t="s">
        <v>36</v>
      </c>
      <c r="E14" s="0" t="n">
        <v>77</v>
      </c>
      <c r="F14" s="0" t="n">
        <v>2005</v>
      </c>
      <c r="G14" s="0" t="n">
        <v>10</v>
      </c>
      <c r="H14" s="0" t="n">
        <v>18</v>
      </c>
      <c r="J14" s="0" t="n">
        <v>2.13</v>
      </c>
      <c r="K14" s="0" t="n">
        <v>99</v>
      </c>
      <c r="L14" s="0" t="n">
        <v>77</v>
      </c>
      <c r="M14" s="0" t="n">
        <v>69</v>
      </c>
      <c r="N14" s="0" t="n">
        <v>65</v>
      </c>
      <c r="O14" s="0" t="n">
        <v>67</v>
      </c>
      <c r="P14" s="0" t="n">
        <v>74</v>
      </c>
      <c r="Q14" s="0" t="n">
        <v>78</v>
      </c>
      <c r="R14" s="0" t="n">
        <v>60</v>
      </c>
      <c r="S14" s="0" t="n">
        <v>60</v>
      </c>
      <c r="T14" s="0" t="n">
        <v>73</v>
      </c>
      <c r="U14" s="0" t="n">
        <v>82</v>
      </c>
      <c r="V14" s="0" t="n">
        <v>80</v>
      </c>
      <c r="W14" s="0" t="n">
        <v>62</v>
      </c>
      <c r="X14" s="0" t="n">
        <v>85</v>
      </c>
      <c r="Y14" s="0" t="n">
        <v>83</v>
      </c>
      <c r="Z14" s="0" t="n">
        <v>64</v>
      </c>
      <c r="AA14" s="0" t="n">
        <v>79</v>
      </c>
      <c r="AB14" s="0" t="n">
        <v>79</v>
      </c>
      <c r="AC14" s="0" t="n">
        <v>63</v>
      </c>
      <c r="AD14" s="0" t="n">
        <v>63</v>
      </c>
      <c r="AE14" s="0" t="n">
        <v>9097</v>
      </c>
      <c r="AF14" s="0" t="n">
        <v>2004188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75</v>
      </c>
    </row>
    <row r="15" customFormat="false" ht="15" hidden="false" customHeight="false" outlineLevel="0" collapsed="false">
      <c r="A15" s="0" t="s">
        <v>384</v>
      </c>
      <c r="B15" s="0" t="s">
        <v>385</v>
      </c>
      <c r="C15" s="0" t="s">
        <v>42</v>
      </c>
      <c r="D15" s="0" t="s">
        <v>36</v>
      </c>
      <c r="E15" s="0" t="n">
        <v>16</v>
      </c>
      <c r="F15" s="0" t="n">
        <v>2006</v>
      </c>
      <c r="G15" s="0" t="n">
        <v>12</v>
      </c>
      <c r="H15" s="0" t="n">
        <v>3</v>
      </c>
      <c r="J15" s="0" t="n">
        <v>1.96</v>
      </c>
      <c r="K15" s="0" t="n">
        <v>87</v>
      </c>
      <c r="L15" s="0" t="n">
        <v>74</v>
      </c>
      <c r="M15" s="0" t="n">
        <v>77</v>
      </c>
      <c r="N15" s="0" t="n">
        <v>67</v>
      </c>
      <c r="O15" s="0" t="n">
        <v>60</v>
      </c>
      <c r="P15" s="0" t="n">
        <v>78</v>
      </c>
      <c r="Q15" s="0" t="n">
        <v>64</v>
      </c>
      <c r="R15" s="0" t="n">
        <v>78</v>
      </c>
      <c r="S15" s="0" t="n">
        <v>67</v>
      </c>
      <c r="T15" s="0" t="n">
        <v>54</v>
      </c>
      <c r="U15" s="0" t="n">
        <v>57</v>
      </c>
      <c r="V15" s="0" t="n">
        <v>57</v>
      </c>
      <c r="W15" s="0" t="n">
        <v>74</v>
      </c>
      <c r="X15" s="0" t="n">
        <v>52</v>
      </c>
      <c r="Y15" s="0" t="n">
        <v>57</v>
      </c>
      <c r="Z15" s="0" t="n">
        <v>86</v>
      </c>
      <c r="AA15" s="0" t="n">
        <v>79</v>
      </c>
      <c r="AB15" s="0" t="n">
        <v>73</v>
      </c>
      <c r="AC15" s="0" t="n">
        <v>67</v>
      </c>
      <c r="AD15" s="0" t="n">
        <v>67</v>
      </c>
      <c r="AE15" s="0" t="n">
        <v>9141</v>
      </c>
      <c r="AF15" s="0" t="n">
        <v>2004451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386</v>
      </c>
      <c r="B2" s="0" t="s">
        <v>387</v>
      </c>
      <c r="C2" s="0" t="s">
        <v>35</v>
      </c>
      <c r="D2" s="0" t="s">
        <v>36</v>
      </c>
      <c r="E2" s="0" t="n">
        <v>0</v>
      </c>
      <c r="F2" s="0" t="n">
        <v>1999</v>
      </c>
      <c r="G2" s="0" t="n">
        <v>3</v>
      </c>
      <c r="H2" s="0" t="n">
        <v>6</v>
      </c>
      <c r="J2" s="0" t="n">
        <v>1.88</v>
      </c>
      <c r="K2" s="0" t="n">
        <v>86</v>
      </c>
      <c r="L2" s="0" t="n">
        <v>85</v>
      </c>
      <c r="M2" s="0" t="n">
        <v>90</v>
      </c>
      <c r="N2" s="0" t="n">
        <v>97</v>
      </c>
      <c r="O2" s="0" t="n">
        <v>96</v>
      </c>
      <c r="P2" s="0" t="n">
        <v>96</v>
      </c>
      <c r="Q2" s="0" t="n">
        <v>68</v>
      </c>
      <c r="R2" s="0" t="n">
        <v>97</v>
      </c>
      <c r="S2" s="0" t="n">
        <v>93</v>
      </c>
      <c r="T2" s="0" t="n">
        <v>64</v>
      </c>
      <c r="U2" s="0" t="n">
        <v>57</v>
      </c>
      <c r="V2" s="0" t="n">
        <v>57</v>
      </c>
      <c r="W2" s="0" t="n">
        <v>93</v>
      </c>
      <c r="X2" s="0" t="n">
        <v>61</v>
      </c>
      <c r="Y2" s="0" t="n">
        <v>63</v>
      </c>
      <c r="Z2" s="0" t="n">
        <v>95</v>
      </c>
      <c r="AA2" s="0" t="n">
        <v>88</v>
      </c>
      <c r="AB2" s="0" t="n">
        <v>83</v>
      </c>
      <c r="AC2" s="0" t="n">
        <v>81</v>
      </c>
      <c r="AD2" s="0" t="n">
        <v>85</v>
      </c>
      <c r="AE2" s="0" t="n">
        <v>9100</v>
      </c>
      <c r="AF2" s="0" t="n">
        <v>2002277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94</v>
      </c>
    </row>
    <row r="3" customFormat="false" ht="15" hidden="false" customHeight="false" outlineLevel="0" collapsed="false">
      <c r="A3" s="0" t="s">
        <v>388</v>
      </c>
      <c r="B3" s="0" t="s">
        <v>134</v>
      </c>
      <c r="C3" s="0" t="s">
        <v>35</v>
      </c>
      <c r="D3" s="0" t="s">
        <v>36</v>
      </c>
      <c r="E3" s="0" t="n">
        <v>1</v>
      </c>
      <c r="F3" s="0" t="n">
        <v>1997</v>
      </c>
      <c r="G3" s="0" t="n">
        <v>1</v>
      </c>
      <c r="H3" s="0" t="n">
        <v>12</v>
      </c>
      <c r="J3" s="0" t="n">
        <v>1.83</v>
      </c>
      <c r="K3" s="0" t="n">
        <v>84</v>
      </c>
      <c r="L3" s="0" t="n">
        <v>88</v>
      </c>
      <c r="M3" s="0" t="n">
        <v>90</v>
      </c>
      <c r="N3" s="0" t="n">
        <v>67</v>
      </c>
      <c r="O3" s="0" t="n">
        <v>69</v>
      </c>
      <c r="P3" s="0" t="n">
        <v>99</v>
      </c>
      <c r="Q3" s="0" t="n">
        <v>67</v>
      </c>
      <c r="R3" s="0" t="n">
        <v>99</v>
      </c>
      <c r="S3" s="0" t="n">
        <v>96</v>
      </c>
      <c r="T3" s="0" t="n">
        <v>65</v>
      </c>
      <c r="U3" s="0" t="n">
        <v>55</v>
      </c>
      <c r="V3" s="0" t="n">
        <v>55</v>
      </c>
      <c r="W3" s="0" t="n">
        <v>99</v>
      </c>
      <c r="X3" s="0" t="n">
        <v>61</v>
      </c>
      <c r="Y3" s="0" t="n">
        <v>63</v>
      </c>
      <c r="Z3" s="0" t="n">
        <v>99</v>
      </c>
      <c r="AA3" s="0" t="n">
        <v>88</v>
      </c>
      <c r="AB3" s="0" t="n">
        <v>83</v>
      </c>
      <c r="AC3" s="0" t="n">
        <v>83</v>
      </c>
      <c r="AD3" s="0" t="n">
        <v>84</v>
      </c>
      <c r="AE3" s="0" t="n">
        <v>9121</v>
      </c>
      <c r="AF3" s="0" t="n">
        <v>2004250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93</v>
      </c>
    </row>
    <row r="4" customFormat="false" ht="15" hidden="false" customHeight="false" outlineLevel="0" collapsed="false">
      <c r="A4" s="0" t="s">
        <v>389</v>
      </c>
      <c r="B4" s="0" t="s">
        <v>390</v>
      </c>
      <c r="C4" s="0" t="s">
        <v>39</v>
      </c>
      <c r="D4" s="0" t="s">
        <v>36</v>
      </c>
      <c r="E4" s="0" t="n">
        <v>2</v>
      </c>
      <c r="F4" s="0" t="n">
        <v>1999</v>
      </c>
      <c r="G4" s="0" t="n">
        <v>8</v>
      </c>
      <c r="H4" s="0" t="n">
        <v>24</v>
      </c>
      <c r="J4" s="0" t="n">
        <v>2.03</v>
      </c>
      <c r="K4" s="0" t="n">
        <v>107</v>
      </c>
      <c r="L4" s="0" t="n">
        <v>85</v>
      </c>
      <c r="M4" s="0" t="n">
        <v>77</v>
      </c>
      <c r="N4" s="0" t="n">
        <v>60</v>
      </c>
      <c r="O4" s="0" t="n">
        <v>85</v>
      </c>
      <c r="P4" s="0" t="n">
        <v>82</v>
      </c>
      <c r="Q4" s="0" t="n">
        <v>82</v>
      </c>
      <c r="R4" s="0" t="n">
        <v>68</v>
      </c>
      <c r="S4" s="0" t="n">
        <v>70</v>
      </c>
      <c r="T4" s="0" t="n">
        <v>81</v>
      </c>
      <c r="U4" s="0" t="n">
        <v>89</v>
      </c>
      <c r="V4" s="0" t="n">
        <v>80</v>
      </c>
      <c r="W4" s="0" t="n">
        <v>70</v>
      </c>
      <c r="X4" s="0" t="n">
        <v>91</v>
      </c>
      <c r="Y4" s="0" t="n">
        <v>70</v>
      </c>
      <c r="Z4" s="0" t="n">
        <v>69</v>
      </c>
      <c r="AA4" s="0" t="n">
        <v>87</v>
      </c>
      <c r="AB4" s="0" t="n">
        <v>90</v>
      </c>
      <c r="AC4" s="0" t="n">
        <v>76</v>
      </c>
      <c r="AD4" s="0" t="n">
        <v>77</v>
      </c>
      <c r="AE4" s="0" t="n">
        <v>9122</v>
      </c>
      <c r="AF4" s="0" t="n">
        <v>2004252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82</v>
      </c>
    </row>
    <row r="5" customFormat="false" ht="15" hidden="false" customHeight="false" outlineLevel="0" collapsed="false">
      <c r="A5" s="0" t="s">
        <v>391</v>
      </c>
      <c r="B5" s="0" t="s">
        <v>392</v>
      </c>
      <c r="C5" s="0" t="s">
        <v>52</v>
      </c>
      <c r="D5" s="0" t="s">
        <v>36</v>
      </c>
      <c r="E5" s="0" t="n">
        <v>8</v>
      </c>
      <c r="F5" s="0" t="n">
        <v>2000</v>
      </c>
      <c r="G5" s="0" t="n">
        <v>2</v>
      </c>
      <c r="H5" s="0" t="n">
        <v>3</v>
      </c>
      <c r="J5" s="0" t="n">
        <v>2.08</v>
      </c>
      <c r="K5" s="0" t="n">
        <v>106</v>
      </c>
      <c r="L5" s="0" t="n">
        <v>90</v>
      </c>
      <c r="M5" s="0" t="n">
        <v>70</v>
      </c>
      <c r="N5" s="0" t="n">
        <v>60</v>
      </c>
      <c r="O5" s="0" t="n">
        <v>69</v>
      </c>
      <c r="P5" s="0" t="n">
        <v>81</v>
      </c>
      <c r="Q5" s="0" t="n">
        <v>85</v>
      </c>
      <c r="R5" s="0" t="n">
        <v>57</v>
      </c>
      <c r="S5" s="0" t="n">
        <v>61</v>
      </c>
      <c r="T5" s="0" t="n">
        <v>83</v>
      </c>
      <c r="U5" s="0" t="n">
        <v>94</v>
      </c>
      <c r="V5" s="0" t="n">
        <v>90</v>
      </c>
      <c r="W5" s="0" t="n">
        <v>63</v>
      </c>
      <c r="X5" s="0" t="n">
        <v>91</v>
      </c>
      <c r="Y5" s="0" t="n">
        <v>73</v>
      </c>
      <c r="Z5" s="0" t="n">
        <v>57</v>
      </c>
      <c r="AA5" s="0" t="n">
        <v>87</v>
      </c>
      <c r="AB5" s="0" t="n">
        <v>89</v>
      </c>
      <c r="AC5" s="0" t="n">
        <v>71</v>
      </c>
      <c r="AD5" s="0" t="n">
        <v>73</v>
      </c>
      <c r="AE5" s="0" t="n">
        <v>9120</v>
      </c>
      <c r="AF5" s="0" t="n">
        <v>2004249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84</v>
      </c>
    </row>
    <row r="6" customFormat="false" ht="15" hidden="false" customHeight="false" outlineLevel="0" collapsed="false">
      <c r="A6" s="0" t="s">
        <v>393</v>
      </c>
      <c r="B6" s="0" t="s">
        <v>394</v>
      </c>
      <c r="C6" s="0" t="s">
        <v>42</v>
      </c>
      <c r="D6" s="0" t="s">
        <v>36</v>
      </c>
      <c r="E6" s="0" t="n">
        <v>10</v>
      </c>
      <c r="F6" s="0" t="n">
        <v>1997</v>
      </c>
      <c r="G6" s="0" t="n">
        <v>4</v>
      </c>
      <c r="H6" s="0" t="n">
        <v>30</v>
      </c>
      <c r="J6" s="0" t="n">
        <v>1.93</v>
      </c>
      <c r="K6" s="0" t="n">
        <v>90</v>
      </c>
      <c r="L6" s="0" t="n">
        <v>82</v>
      </c>
      <c r="M6" s="0" t="n">
        <v>85</v>
      </c>
      <c r="N6" s="0" t="n">
        <v>67</v>
      </c>
      <c r="O6" s="0" t="n">
        <v>90</v>
      </c>
      <c r="P6" s="0" t="n">
        <v>86</v>
      </c>
      <c r="Q6" s="0" t="n">
        <v>69</v>
      </c>
      <c r="R6" s="0" t="n">
        <v>84</v>
      </c>
      <c r="S6" s="0" t="n">
        <v>75</v>
      </c>
      <c r="T6" s="0" t="n">
        <v>61</v>
      </c>
      <c r="U6" s="0" t="n">
        <v>63</v>
      </c>
      <c r="V6" s="0" t="n">
        <v>63</v>
      </c>
      <c r="W6" s="0" t="n">
        <v>83</v>
      </c>
      <c r="X6" s="0" t="n">
        <v>58</v>
      </c>
      <c r="Y6" s="0" t="n">
        <v>63</v>
      </c>
      <c r="Z6" s="0" t="n">
        <v>88</v>
      </c>
      <c r="AA6" s="0" t="n">
        <v>85</v>
      </c>
      <c r="AB6" s="0" t="n">
        <v>79</v>
      </c>
      <c r="AC6" s="0" t="n">
        <v>78</v>
      </c>
      <c r="AD6" s="0" t="n">
        <v>80</v>
      </c>
      <c r="AE6" s="0" t="n">
        <v>5522</v>
      </c>
      <c r="AF6" s="0" t="n">
        <v>2001838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82</v>
      </c>
    </row>
    <row r="7" customFormat="false" ht="15" hidden="false" customHeight="false" outlineLevel="0" collapsed="false">
      <c r="A7" s="0" t="s">
        <v>395</v>
      </c>
      <c r="B7" s="0" t="s">
        <v>396</v>
      </c>
      <c r="C7" s="0" t="s">
        <v>45</v>
      </c>
      <c r="D7" s="0" t="s">
        <v>36</v>
      </c>
      <c r="E7" s="0" t="n">
        <v>4</v>
      </c>
      <c r="F7" s="0" t="n">
        <v>2003</v>
      </c>
      <c r="G7" s="0" t="n">
        <v>2</v>
      </c>
      <c r="H7" s="0" t="n">
        <v>19</v>
      </c>
      <c r="J7" s="0" t="n">
        <v>2.01</v>
      </c>
      <c r="K7" s="0" t="n">
        <v>93</v>
      </c>
      <c r="L7" s="0" t="n">
        <v>81</v>
      </c>
      <c r="M7" s="0" t="n">
        <v>81</v>
      </c>
      <c r="N7" s="0" t="n">
        <v>60</v>
      </c>
      <c r="O7" s="0" t="n">
        <v>60</v>
      </c>
      <c r="P7" s="0" t="n">
        <v>85</v>
      </c>
      <c r="Q7" s="0" t="n">
        <v>75</v>
      </c>
      <c r="R7" s="0" t="n">
        <v>75</v>
      </c>
      <c r="S7" s="0" t="n">
        <v>72</v>
      </c>
      <c r="T7" s="0" t="n">
        <v>63</v>
      </c>
      <c r="U7" s="0" t="n">
        <v>73</v>
      </c>
      <c r="V7" s="0" t="n">
        <v>68</v>
      </c>
      <c r="W7" s="0" t="n">
        <v>75</v>
      </c>
      <c r="X7" s="0" t="n">
        <v>73</v>
      </c>
      <c r="Y7" s="0" t="n">
        <v>69</v>
      </c>
      <c r="Z7" s="0" t="n">
        <v>81</v>
      </c>
      <c r="AA7" s="0" t="n">
        <v>84</v>
      </c>
      <c r="AB7" s="0" t="n">
        <v>83</v>
      </c>
      <c r="AC7" s="0" t="n">
        <v>78</v>
      </c>
      <c r="AD7" s="0" t="n">
        <v>78</v>
      </c>
      <c r="AE7" s="0" t="n">
        <v>9123</v>
      </c>
      <c r="AF7" s="0" t="n">
        <v>2004254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78</v>
      </c>
    </row>
    <row r="8" customFormat="false" ht="15" hidden="false" customHeight="false" outlineLevel="0" collapsed="false">
      <c r="A8" s="0" t="s">
        <v>397</v>
      </c>
      <c r="B8" s="0" t="s">
        <v>398</v>
      </c>
      <c r="C8" s="0" t="s">
        <v>35</v>
      </c>
      <c r="D8" s="0" t="s">
        <v>36</v>
      </c>
      <c r="E8" s="0" t="n">
        <v>9</v>
      </c>
      <c r="F8" s="0" t="n">
        <v>2001</v>
      </c>
      <c r="G8" s="0" t="n">
        <v>2</v>
      </c>
      <c r="H8" s="0" t="n">
        <v>26</v>
      </c>
      <c r="J8" s="0" t="n">
        <v>1.94</v>
      </c>
      <c r="K8" s="0" t="n">
        <v>92</v>
      </c>
      <c r="L8" s="0" t="n">
        <v>78</v>
      </c>
      <c r="M8" s="0" t="n">
        <v>83</v>
      </c>
      <c r="N8" s="0" t="n">
        <v>78</v>
      </c>
      <c r="O8" s="0" t="n">
        <v>69</v>
      </c>
      <c r="P8" s="0" t="n">
        <v>86</v>
      </c>
      <c r="Q8" s="0" t="n">
        <v>65</v>
      </c>
      <c r="R8" s="0" t="n">
        <v>92</v>
      </c>
      <c r="S8" s="0" t="n">
        <v>90</v>
      </c>
      <c r="T8" s="0" t="n">
        <v>58</v>
      </c>
      <c r="U8" s="0" t="n">
        <v>58</v>
      </c>
      <c r="V8" s="0" t="n">
        <v>58</v>
      </c>
      <c r="W8" s="0" t="n">
        <v>90</v>
      </c>
      <c r="X8" s="0" t="n">
        <v>58</v>
      </c>
      <c r="Y8" s="0" t="n">
        <v>60</v>
      </c>
      <c r="Z8" s="0" t="n">
        <v>90</v>
      </c>
      <c r="AA8" s="0" t="n">
        <v>85</v>
      </c>
      <c r="AB8" s="0" t="n">
        <v>80</v>
      </c>
      <c r="AC8" s="0" t="n">
        <v>78</v>
      </c>
      <c r="AD8" s="0" t="n">
        <v>79</v>
      </c>
      <c r="AE8" s="0" t="n">
        <v>5113</v>
      </c>
      <c r="AF8" s="0" t="n">
        <v>2001447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86</v>
      </c>
    </row>
    <row r="9" customFormat="false" ht="15" hidden="false" customHeight="false" outlineLevel="0" collapsed="false">
      <c r="A9" s="0" t="s">
        <v>399</v>
      </c>
      <c r="B9" s="0" t="s">
        <v>400</v>
      </c>
      <c r="C9" s="0" t="s">
        <v>52</v>
      </c>
      <c r="D9" s="0" t="s">
        <v>36</v>
      </c>
      <c r="E9" s="0" t="n">
        <v>15</v>
      </c>
      <c r="F9" s="0" t="n">
        <v>1995</v>
      </c>
      <c r="G9" s="0" t="n">
        <v>8</v>
      </c>
      <c r="H9" s="0" t="n">
        <v>22</v>
      </c>
      <c r="J9" s="0" t="n">
        <v>2.13</v>
      </c>
      <c r="K9" s="0" t="n">
        <v>115</v>
      </c>
      <c r="L9" s="0" t="n">
        <v>92</v>
      </c>
      <c r="M9" s="0" t="n">
        <v>72</v>
      </c>
      <c r="N9" s="0" t="n">
        <v>80</v>
      </c>
      <c r="O9" s="0" t="n">
        <v>75</v>
      </c>
      <c r="P9" s="0" t="n">
        <v>83</v>
      </c>
      <c r="Q9" s="0" t="n">
        <v>88</v>
      </c>
      <c r="R9" s="0" t="n">
        <v>58</v>
      </c>
      <c r="S9" s="0" t="n">
        <v>63</v>
      </c>
      <c r="T9" s="0" t="n">
        <v>84</v>
      </c>
      <c r="U9" s="0" t="n">
        <v>99</v>
      </c>
      <c r="V9" s="0" t="n">
        <v>92</v>
      </c>
      <c r="W9" s="0" t="n">
        <v>63</v>
      </c>
      <c r="X9" s="0" t="n">
        <v>96</v>
      </c>
      <c r="Y9" s="0" t="n">
        <v>80</v>
      </c>
      <c r="Z9" s="0" t="n">
        <v>50</v>
      </c>
      <c r="AA9" s="0" t="n">
        <v>84</v>
      </c>
      <c r="AB9" s="0" t="n">
        <v>89</v>
      </c>
      <c r="AC9" s="0" t="n">
        <v>74</v>
      </c>
      <c r="AD9" s="0" t="n">
        <v>80</v>
      </c>
      <c r="AE9" s="0" t="n">
        <v>5046</v>
      </c>
      <c r="AF9" s="0" t="n">
        <v>57948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89</v>
      </c>
    </row>
    <row r="10" customFormat="false" ht="15" hidden="false" customHeight="false" outlineLevel="0" collapsed="false">
      <c r="A10" s="0" t="s">
        <v>401</v>
      </c>
      <c r="B10" s="0" t="s">
        <v>402</v>
      </c>
      <c r="C10" s="0" t="s">
        <v>35</v>
      </c>
      <c r="D10" s="0" t="s">
        <v>36</v>
      </c>
      <c r="E10" s="0" t="n">
        <v>6</v>
      </c>
      <c r="F10" s="0" t="n">
        <v>1999</v>
      </c>
      <c r="G10" s="0" t="n">
        <v>3</v>
      </c>
      <c r="H10" s="0" t="n">
        <v>31</v>
      </c>
      <c r="J10" s="0" t="n">
        <v>1.81</v>
      </c>
      <c r="K10" s="0" t="n">
        <v>75</v>
      </c>
      <c r="L10" s="0" t="n">
        <v>78</v>
      </c>
      <c r="M10" s="0" t="n">
        <v>83</v>
      </c>
      <c r="N10" s="0" t="n">
        <v>67</v>
      </c>
      <c r="O10" s="0" t="n">
        <v>69</v>
      </c>
      <c r="P10" s="0" t="n">
        <v>90</v>
      </c>
      <c r="Q10" s="0" t="n">
        <v>62</v>
      </c>
      <c r="R10" s="0" t="n">
        <v>95</v>
      </c>
      <c r="S10" s="0" t="n">
        <v>90</v>
      </c>
      <c r="T10" s="0" t="n">
        <v>58</v>
      </c>
      <c r="U10" s="0" t="n">
        <v>52</v>
      </c>
      <c r="V10" s="0" t="n">
        <v>52</v>
      </c>
      <c r="W10" s="0" t="n">
        <v>94</v>
      </c>
      <c r="X10" s="0" t="n">
        <v>58</v>
      </c>
      <c r="Y10" s="0" t="n">
        <v>58</v>
      </c>
      <c r="Z10" s="0" t="n">
        <v>96</v>
      </c>
      <c r="AA10" s="0" t="n">
        <v>85</v>
      </c>
      <c r="AB10" s="0" t="n">
        <v>80</v>
      </c>
      <c r="AC10" s="0" t="n">
        <v>77</v>
      </c>
      <c r="AD10" s="0" t="n">
        <v>79</v>
      </c>
      <c r="AE10" s="0" t="n">
        <v>5578</v>
      </c>
      <c r="AF10" s="0" t="n">
        <v>2002188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86</v>
      </c>
    </row>
    <row r="11" customFormat="false" ht="15" hidden="false" customHeight="false" outlineLevel="0" collapsed="false">
      <c r="A11" s="0" t="s">
        <v>403</v>
      </c>
      <c r="B11" s="0" t="s">
        <v>404</v>
      </c>
      <c r="C11" s="0" t="s">
        <v>39</v>
      </c>
      <c r="D11" s="0" t="s">
        <v>36</v>
      </c>
      <c r="E11" s="0" t="n">
        <v>11</v>
      </c>
      <c r="F11" s="0" t="n">
        <v>2005</v>
      </c>
      <c r="G11" s="0" t="n">
        <v>5</v>
      </c>
      <c r="H11" s="0" t="n">
        <v>23</v>
      </c>
      <c r="J11" s="0" t="n">
        <v>2.01</v>
      </c>
      <c r="K11" s="0" t="n">
        <v>103</v>
      </c>
      <c r="L11" s="0" t="n">
        <v>81</v>
      </c>
      <c r="M11" s="0" t="n">
        <v>73</v>
      </c>
      <c r="N11" s="0" t="n">
        <v>69</v>
      </c>
      <c r="O11" s="0" t="n">
        <v>60</v>
      </c>
      <c r="P11" s="0" t="n">
        <v>78</v>
      </c>
      <c r="Q11" s="0" t="n">
        <v>80</v>
      </c>
      <c r="R11" s="0" t="n">
        <v>64</v>
      </c>
      <c r="S11" s="0" t="n">
        <v>64</v>
      </c>
      <c r="T11" s="0" t="n">
        <v>77</v>
      </c>
      <c r="U11" s="0" t="n">
        <v>82</v>
      </c>
      <c r="V11" s="0" t="n">
        <v>76</v>
      </c>
      <c r="W11" s="0" t="n">
        <v>66</v>
      </c>
      <c r="X11" s="0" t="n">
        <v>87</v>
      </c>
      <c r="Y11" s="0" t="n">
        <v>69</v>
      </c>
      <c r="Z11" s="0" t="n">
        <v>72</v>
      </c>
      <c r="AA11" s="0" t="n">
        <v>83</v>
      </c>
      <c r="AB11" s="0" t="n">
        <v>86</v>
      </c>
      <c r="AC11" s="0" t="n">
        <v>68</v>
      </c>
      <c r="AD11" s="0" t="n">
        <v>67</v>
      </c>
      <c r="AE11" s="0" t="n">
        <v>9013</v>
      </c>
      <c r="AF11" s="0" t="n">
        <v>1400017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77</v>
      </c>
    </row>
    <row r="12" customFormat="false" ht="15" hidden="false" customHeight="false" outlineLevel="0" collapsed="false">
      <c r="A12" s="0" t="s">
        <v>405</v>
      </c>
      <c r="B12" s="0" t="s">
        <v>406</v>
      </c>
      <c r="C12" s="0" t="s">
        <v>42</v>
      </c>
      <c r="D12" s="0" t="s">
        <v>36</v>
      </c>
      <c r="E12" s="0" t="n">
        <v>7</v>
      </c>
      <c r="F12" s="0" t="n">
        <v>2008</v>
      </c>
      <c r="G12" s="0" t="n">
        <v>6</v>
      </c>
      <c r="H12" s="0" t="n">
        <v>1</v>
      </c>
      <c r="J12" s="0" t="n">
        <v>1.97</v>
      </c>
      <c r="K12" s="0" t="n">
        <v>95</v>
      </c>
      <c r="L12" s="0" t="n">
        <v>75</v>
      </c>
      <c r="M12" s="0" t="n">
        <v>78</v>
      </c>
      <c r="N12" s="0" t="n">
        <v>87</v>
      </c>
      <c r="O12" s="0" t="n">
        <v>69</v>
      </c>
      <c r="P12" s="0" t="n">
        <v>79</v>
      </c>
      <c r="Q12" s="0" t="n">
        <v>65</v>
      </c>
      <c r="R12" s="0" t="n">
        <v>83</v>
      </c>
      <c r="S12" s="0" t="n">
        <v>69</v>
      </c>
      <c r="T12" s="0" t="n">
        <v>55</v>
      </c>
      <c r="U12" s="0" t="n">
        <v>60</v>
      </c>
      <c r="V12" s="0" t="n">
        <v>58</v>
      </c>
      <c r="W12" s="0" t="n">
        <v>75</v>
      </c>
      <c r="X12" s="0" t="n">
        <v>53</v>
      </c>
      <c r="Y12" s="0" t="n">
        <v>58</v>
      </c>
      <c r="Z12" s="0" t="n">
        <v>87</v>
      </c>
      <c r="AA12" s="0" t="n">
        <v>80</v>
      </c>
      <c r="AB12" s="0" t="n">
        <v>74</v>
      </c>
      <c r="AC12" s="0" t="n">
        <v>68</v>
      </c>
      <c r="AD12" s="0" t="n">
        <v>68</v>
      </c>
      <c r="AE12" s="0" t="n">
        <v>5047</v>
      </c>
      <c r="AF12" s="0" t="n">
        <v>58073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77</v>
      </c>
    </row>
    <row r="13" customFormat="false" ht="15" hidden="false" customHeight="false" outlineLevel="0" collapsed="false">
      <c r="A13" s="0" t="s">
        <v>135</v>
      </c>
      <c r="B13" s="0" t="s">
        <v>407</v>
      </c>
      <c r="C13" s="0" t="s">
        <v>52</v>
      </c>
      <c r="D13" s="0" t="s">
        <v>36</v>
      </c>
      <c r="E13" s="0" t="n">
        <v>14</v>
      </c>
      <c r="F13" s="0" t="n">
        <v>2008</v>
      </c>
      <c r="G13" s="0" t="n">
        <v>1</v>
      </c>
      <c r="H13" s="0" t="n">
        <v>14</v>
      </c>
      <c r="J13" s="0" t="n">
        <v>2.06</v>
      </c>
      <c r="K13" s="0" t="n">
        <v>115</v>
      </c>
      <c r="L13" s="0" t="n">
        <v>84</v>
      </c>
      <c r="M13" s="0" t="n">
        <v>64</v>
      </c>
      <c r="N13" s="0" t="n">
        <v>52</v>
      </c>
      <c r="O13" s="0" t="n">
        <v>60</v>
      </c>
      <c r="P13" s="0" t="n">
        <v>75</v>
      </c>
      <c r="Q13" s="0" t="n">
        <v>81</v>
      </c>
      <c r="R13" s="0" t="n">
        <v>52</v>
      </c>
      <c r="S13" s="0" t="n">
        <v>53</v>
      </c>
      <c r="T13" s="0" t="n">
        <v>77</v>
      </c>
      <c r="U13" s="0" t="n">
        <v>91</v>
      </c>
      <c r="V13" s="0" t="n">
        <v>84</v>
      </c>
      <c r="W13" s="0" t="n">
        <v>57</v>
      </c>
      <c r="X13" s="0" t="n">
        <v>82</v>
      </c>
      <c r="Y13" s="0" t="n">
        <v>85</v>
      </c>
      <c r="Z13" s="0" t="n">
        <v>52</v>
      </c>
      <c r="AA13" s="0" t="n">
        <v>81</v>
      </c>
      <c r="AB13" s="0" t="n">
        <v>80</v>
      </c>
      <c r="AC13" s="0" t="n">
        <v>60</v>
      </c>
      <c r="AD13" s="0" t="n">
        <v>62</v>
      </c>
      <c r="AE13" s="0" t="n">
        <v>9149</v>
      </c>
      <c r="AF13" s="0" t="n">
        <v>2002994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78</v>
      </c>
    </row>
    <row r="14" customFormat="false" ht="15" hidden="false" customHeight="false" outlineLevel="0" collapsed="false">
      <c r="A14" s="0" t="s">
        <v>408</v>
      </c>
      <c r="B14" s="0" t="s">
        <v>409</v>
      </c>
      <c r="C14" s="0" t="s">
        <v>35</v>
      </c>
      <c r="D14" s="0" t="s">
        <v>36</v>
      </c>
      <c r="E14" s="0" t="n">
        <v>3</v>
      </c>
      <c r="F14" s="0" t="n">
        <v>2009</v>
      </c>
      <c r="G14" s="0" t="n">
        <v>9</v>
      </c>
      <c r="H14" s="0" t="n">
        <v>21</v>
      </c>
      <c r="J14" s="0" t="n">
        <v>1.89</v>
      </c>
      <c r="K14" s="0" t="n">
        <v>67</v>
      </c>
      <c r="L14" s="0" t="n">
        <v>71</v>
      </c>
      <c r="M14" s="0" t="n">
        <v>76</v>
      </c>
      <c r="N14" s="0" t="n">
        <v>71</v>
      </c>
      <c r="O14" s="0" t="n">
        <v>81</v>
      </c>
      <c r="P14" s="0" t="n">
        <v>82</v>
      </c>
      <c r="Q14" s="0" t="n">
        <v>58</v>
      </c>
      <c r="R14" s="0" t="n">
        <v>87</v>
      </c>
      <c r="S14" s="0" t="n">
        <v>81</v>
      </c>
      <c r="T14" s="0" t="n">
        <v>51</v>
      </c>
      <c r="U14" s="0" t="n">
        <v>50</v>
      </c>
      <c r="V14" s="0" t="n">
        <v>50</v>
      </c>
      <c r="W14" s="0" t="n">
        <v>83</v>
      </c>
      <c r="X14" s="0" t="n">
        <v>51</v>
      </c>
      <c r="Y14" s="0" t="n">
        <v>51</v>
      </c>
      <c r="Z14" s="0" t="n">
        <v>93</v>
      </c>
      <c r="AA14" s="0" t="n">
        <v>78</v>
      </c>
      <c r="AB14" s="0" t="n">
        <v>73</v>
      </c>
      <c r="AC14" s="0" t="n">
        <v>66</v>
      </c>
      <c r="AD14" s="0" t="n">
        <v>66</v>
      </c>
      <c r="AE14" s="0" t="n">
        <v>5525</v>
      </c>
      <c r="AF14" s="0" t="n">
        <v>2001841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410</v>
      </c>
      <c r="B2" s="0" t="s">
        <v>411</v>
      </c>
      <c r="C2" s="0" t="s">
        <v>52</v>
      </c>
      <c r="D2" s="0" t="s">
        <v>36</v>
      </c>
      <c r="E2" s="0" t="n">
        <v>5</v>
      </c>
      <c r="F2" s="0" t="n">
        <v>1994</v>
      </c>
      <c r="G2" s="0" t="n">
        <v>8</v>
      </c>
      <c r="H2" s="0" t="n">
        <v>21</v>
      </c>
      <c r="J2" s="0" t="n">
        <v>2.01</v>
      </c>
      <c r="K2" s="0" t="n">
        <v>102</v>
      </c>
      <c r="L2" s="0" t="n">
        <v>92</v>
      </c>
      <c r="M2" s="0" t="n">
        <v>75</v>
      </c>
      <c r="N2" s="0" t="n">
        <v>63</v>
      </c>
      <c r="O2" s="0" t="n">
        <v>60</v>
      </c>
      <c r="P2" s="0" t="n">
        <v>83</v>
      </c>
      <c r="Q2" s="0" t="n">
        <v>89</v>
      </c>
      <c r="R2" s="0" t="n">
        <v>61</v>
      </c>
      <c r="S2" s="0" t="n">
        <v>66</v>
      </c>
      <c r="T2" s="0" t="n">
        <v>86</v>
      </c>
      <c r="U2" s="0" t="n">
        <v>92</v>
      </c>
      <c r="V2" s="0" t="n">
        <v>90</v>
      </c>
      <c r="W2" s="0" t="n">
        <v>66</v>
      </c>
      <c r="X2" s="0" t="n">
        <v>99</v>
      </c>
      <c r="Y2" s="0" t="n">
        <v>69</v>
      </c>
      <c r="Z2" s="0" t="n">
        <v>60</v>
      </c>
      <c r="AA2" s="0" t="n">
        <v>87</v>
      </c>
      <c r="AB2" s="0" t="n">
        <v>99</v>
      </c>
      <c r="AC2" s="0" t="n">
        <v>77</v>
      </c>
      <c r="AD2" s="0" t="n">
        <v>83</v>
      </c>
      <c r="AE2" s="0" t="n">
        <v>9136</v>
      </c>
      <c r="AF2" s="0" t="n">
        <v>2004426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87</v>
      </c>
    </row>
    <row r="3" customFormat="false" ht="15" hidden="false" customHeight="false" outlineLevel="0" collapsed="false">
      <c r="A3" s="0" t="s">
        <v>412</v>
      </c>
      <c r="B3" s="0" t="s">
        <v>413</v>
      </c>
      <c r="C3" s="0" t="s">
        <v>42</v>
      </c>
      <c r="D3" s="0" t="s">
        <v>36</v>
      </c>
      <c r="E3" s="0" t="n">
        <v>22</v>
      </c>
      <c r="F3" s="0" t="n">
        <v>1998</v>
      </c>
      <c r="G3" s="0" t="n">
        <v>8</v>
      </c>
      <c r="H3" s="0" t="n">
        <v>14</v>
      </c>
      <c r="J3" s="0" t="n">
        <v>1.8</v>
      </c>
      <c r="K3" s="0" t="n">
        <v>85</v>
      </c>
      <c r="L3" s="0" t="n">
        <v>87</v>
      </c>
      <c r="M3" s="0" t="n">
        <v>90</v>
      </c>
      <c r="N3" s="0" t="n">
        <v>99</v>
      </c>
      <c r="O3" s="0" t="n">
        <v>93</v>
      </c>
      <c r="P3" s="0" t="n">
        <v>95</v>
      </c>
      <c r="Q3" s="0" t="n">
        <v>69</v>
      </c>
      <c r="R3" s="0" t="n">
        <v>91</v>
      </c>
      <c r="S3" s="0" t="n">
        <v>81</v>
      </c>
      <c r="T3" s="0" t="n">
        <v>66</v>
      </c>
      <c r="U3" s="0" t="n">
        <v>60</v>
      </c>
      <c r="V3" s="0" t="n">
        <v>60</v>
      </c>
      <c r="W3" s="0" t="n">
        <v>94</v>
      </c>
      <c r="X3" s="0" t="n">
        <v>61</v>
      </c>
      <c r="Y3" s="0" t="n">
        <v>68</v>
      </c>
      <c r="Z3" s="0" t="n">
        <v>95</v>
      </c>
      <c r="AA3" s="0" t="n">
        <v>88</v>
      </c>
      <c r="AB3" s="0" t="n">
        <v>82</v>
      </c>
      <c r="AC3" s="0" t="n">
        <v>83</v>
      </c>
      <c r="AD3" s="0" t="n">
        <v>84</v>
      </c>
      <c r="AE3" s="0" t="n">
        <v>9109</v>
      </c>
      <c r="AF3" s="0" t="n">
        <v>2004201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91</v>
      </c>
    </row>
    <row r="4" customFormat="false" ht="15" hidden="false" customHeight="false" outlineLevel="0" collapsed="false">
      <c r="A4" s="0" t="s">
        <v>414</v>
      </c>
      <c r="B4" s="0" t="s">
        <v>415</v>
      </c>
      <c r="C4" s="0" t="s">
        <v>42</v>
      </c>
      <c r="D4" s="0" t="s">
        <v>36</v>
      </c>
      <c r="E4" s="0" t="n">
        <v>10</v>
      </c>
      <c r="F4" s="0" t="n">
        <v>2002</v>
      </c>
      <c r="G4" s="0" t="n">
        <v>2</v>
      </c>
      <c r="H4" s="0" t="n">
        <v>22</v>
      </c>
      <c r="J4" s="0" t="n">
        <v>1.9</v>
      </c>
      <c r="K4" s="0" t="n">
        <v>88</v>
      </c>
      <c r="L4" s="0" t="n">
        <v>82</v>
      </c>
      <c r="M4" s="0" t="n">
        <v>85</v>
      </c>
      <c r="N4" s="0" t="n">
        <v>94</v>
      </c>
      <c r="O4" s="0" t="n">
        <v>92</v>
      </c>
      <c r="P4" s="0" t="n">
        <v>89</v>
      </c>
      <c r="Q4" s="0" t="n">
        <v>68</v>
      </c>
      <c r="R4" s="0" t="n">
        <v>89</v>
      </c>
      <c r="S4" s="0" t="n">
        <v>80</v>
      </c>
      <c r="T4" s="0" t="n">
        <v>62</v>
      </c>
      <c r="U4" s="0" t="n">
        <v>61</v>
      </c>
      <c r="V4" s="0" t="n">
        <v>61</v>
      </c>
      <c r="W4" s="0" t="n">
        <v>85</v>
      </c>
      <c r="X4" s="0" t="n">
        <v>60</v>
      </c>
      <c r="Y4" s="0" t="n">
        <v>67</v>
      </c>
      <c r="Z4" s="0" t="n">
        <v>92</v>
      </c>
      <c r="AA4" s="0" t="n">
        <v>87</v>
      </c>
      <c r="AB4" s="0" t="n">
        <v>81</v>
      </c>
      <c r="AC4" s="0" t="n">
        <v>81</v>
      </c>
      <c r="AD4" s="0" t="n">
        <v>80</v>
      </c>
      <c r="AE4" s="0" t="n">
        <v>9111</v>
      </c>
      <c r="AF4" s="0" t="n">
        <v>2004203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87</v>
      </c>
    </row>
    <row r="5" customFormat="false" ht="15" hidden="false" customHeight="false" outlineLevel="0" collapsed="false">
      <c r="A5" s="0" t="s">
        <v>416</v>
      </c>
      <c r="B5" s="0" t="s">
        <v>417</v>
      </c>
      <c r="C5" s="0" t="s">
        <v>52</v>
      </c>
      <c r="D5" s="0" t="s">
        <v>36</v>
      </c>
      <c r="E5" s="0" t="n">
        <v>34</v>
      </c>
      <c r="F5" s="0" t="n">
        <v>1998</v>
      </c>
      <c r="G5" s="0" t="n">
        <v>11</v>
      </c>
      <c r="H5" s="0" t="n">
        <v>16</v>
      </c>
      <c r="J5" s="0" t="n">
        <v>2.1</v>
      </c>
      <c r="K5" s="0" t="n">
        <v>110</v>
      </c>
      <c r="L5" s="0" t="n">
        <v>94</v>
      </c>
      <c r="M5" s="0" t="n">
        <v>74</v>
      </c>
      <c r="N5" s="0" t="n">
        <v>62</v>
      </c>
      <c r="O5" s="0" t="n">
        <v>69</v>
      </c>
      <c r="P5" s="0" t="n">
        <v>85</v>
      </c>
      <c r="Q5" s="0" t="n">
        <v>90</v>
      </c>
      <c r="R5" s="0" t="n">
        <v>60</v>
      </c>
      <c r="S5" s="0" t="n">
        <v>63</v>
      </c>
      <c r="T5" s="0" t="n">
        <v>86</v>
      </c>
      <c r="U5" s="0" t="n">
        <v>98</v>
      </c>
      <c r="V5" s="0" t="n">
        <v>94</v>
      </c>
      <c r="W5" s="0" t="n">
        <v>65</v>
      </c>
      <c r="X5" s="0" t="n">
        <v>99</v>
      </c>
      <c r="Y5" s="0" t="n">
        <v>99</v>
      </c>
      <c r="Z5" s="0" t="n">
        <v>55</v>
      </c>
      <c r="AA5" s="0" t="n">
        <v>89</v>
      </c>
      <c r="AB5" s="0" t="n">
        <v>94</v>
      </c>
      <c r="AC5" s="0" t="n">
        <v>74</v>
      </c>
      <c r="AD5" s="0" t="n">
        <v>77</v>
      </c>
      <c r="AE5" s="0" t="n">
        <v>9108</v>
      </c>
      <c r="AF5" s="0" t="n">
        <v>2004200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93</v>
      </c>
    </row>
    <row r="6" customFormat="false" ht="15" hidden="false" customHeight="false" outlineLevel="0" collapsed="false">
      <c r="A6" s="0" t="s">
        <v>418</v>
      </c>
      <c r="B6" s="0" t="s">
        <v>419</v>
      </c>
      <c r="C6" s="0" t="s">
        <v>35</v>
      </c>
      <c r="D6" s="0" t="s">
        <v>36</v>
      </c>
      <c r="E6" s="0" t="n">
        <v>6</v>
      </c>
      <c r="F6" s="0" t="n">
        <v>1992</v>
      </c>
      <c r="G6" s="0" t="n">
        <v>10</v>
      </c>
      <c r="H6" s="0" t="n">
        <v>6</v>
      </c>
      <c r="J6" s="0" t="n">
        <v>1.86</v>
      </c>
      <c r="K6" s="0" t="n">
        <v>83</v>
      </c>
      <c r="L6" s="0" t="n">
        <v>81</v>
      </c>
      <c r="M6" s="0" t="n">
        <v>86</v>
      </c>
      <c r="N6" s="0" t="n">
        <v>67</v>
      </c>
      <c r="O6" s="0" t="n">
        <v>69</v>
      </c>
      <c r="P6" s="0" t="n">
        <v>92</v>
      </c>
      <c r="Q6" s="0" t="n">
        <v>65</v>
      </c>
      <c r="R6" s="0" t="n">
        <v>98</v>
      </c>
      <c r="S6" s="0" t="n">
        <v>99</v>
      </c>
      <c r="T6" s="0" t="n">
        <v>60</v>
      </c>
      <c r="U6" s="0" t="n">
        <v>55</v>
      </c>
      <c r="V6" s="0" t="n">
        <v>55</v>
      </c>
      <c r="W6" s="0" t="n">
        <v>91</v>
      </c>
      <c r="X6" s="0" t="n">
        <v>59</v>
      </c>
      <c r="Y6" s="0" t="n">
        <v>59</v>
      </c>
      <c r="Z6" s="0" t="n">
        <v>92</v>
      </c>
      <c r="AA6" s="0" t="n">
        <v>83</v>
      </c>
      <c r="AB6" s="0" t="n">
        <v>81</v>
      </c>
      <c r="AC6" s="0" t="n">
        <v>81</v>
      </c>
      <c r="AD6" s="0" t="n">
        <v>85</v>
      </c>
      <c r="AE6" s="0" t="n">
        <v>5009</v>
      </c>
      <c r="AF6" s="0" t="n">
        <v>5575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89</v>
      </c>
    </row>
    <row r="7" customFormat="false" ht="15" hidden="false" customHeight="false" outlineLevel="0" collapsed="false">
      <c r="A7" s="0" t="s">
        <v>420</v>
      </c>
      <c r="B7" s="0" t="s">
        <v>421</v>
      </c>
      <c r="C7" s="0" t="s">
        <v>45</v>
      </c>
      <c r="D7" s="0" t="s">
        <v>36</v>
      </c>
      <c r="E7" s="0" t="n">
        <v>28</v>
      </c>
      <c r="F7" s="0" t="n">
        <v>1997</v>
      </c>
      <c r="G7" s="0" t="n">
        <v>6</v>
      </c>
      <c r="H7" s="0" t="n">
        <v>9</v>
      </c>
      <c r="J7" s="0" t="n">
        <v>1.96</v>
      </c>
      <c r="K7" s="0" t="n">
        <v>96</v>
      </c>
      <c r="L7" s="0" t="n">
        <v>82</v>
      </c>
      <c r="M7" s="0" t="n">
        <v>82</v>
      </c>
      <c r="N7" s="0" t="n">
        <v>75</v>
      </c>
      <c r="O7" s="0" t="n">
        <v>69</v>
      </c>
      <c r="P7" s="0" t="n">
        <v>86</v>
      </c>
      <c r="Q7" s="0" t="n">
        <v>76</v>
      </c>
      <c r="R7" s="0" t="n">
        <v>79</v>
      </c>
      <c r="S7" s="0" t="n">
        <v>73</v>
      </c>
      <c r="T7" s="0" t="n">
        <v>64</v>
      </c>
      <c r="U7" s="0" t="n">
        <v>76</v>
      </c>
      <c r="V7" s="0" t="n">
        <v>69</v>
      </c>
      <c r="W7" s="0" t="n">
        <v>79</v>
      </c>
      <c r="X7" s="0" t="n">
        <v>74</v>
      </c>
      <c r="Y7" s="0" t="n">
        <v>69</v>
      </c>
      <c r="Z7" s="0" t="n">
        <v>84</v>
      </c>
      <c r="AA7" s="0" t="n">
        <v>85</v>
      </c>
      <c r="AB7" s="0" t="n">
        <v>84</v>
      </c>
      <c r="AC7" s="0" t="n">
        <v>80</v>
      </c>
      <c r="AD7" s="0" t="n">
        <v>80</v>
      </c>
      <c r="AE7" s="0" t="n">
        <v>5166</v>
      </c>
      <c r="AF7" s="0" t="n">
        <v>2001705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81</v>
      </c>
    </row>
    <row r="8" customFormat="false" ht="15" hidden="false" customHeight="false" outlineLevel="0" collapsed="false">
      <c r="A8" s="0" t="s">
        <v>422</v>
      </c>
      <c r="B8" s="0" t="s">
        <v>423</v>
      </c>
      <c r="C8" s="0" t="s">
        <v>39</v>
      </c>
      <c r="D8" s="0" t="s">
        <v>36</v>
      </c>
      <c r="E8" s="0" t="n">
        <v>4</v>
      </c>
      <c r="F8" s="0" t="n">
        <v>1997</v>
      </c>
      <c r="G8" s="0" t="n">
        <v>11</v>
      </c>
      <c r="H8" s="0" t="n">
        <v>11</v>
      </c>
      <c r="J8" s="0" t="n">
        <v>2.01</v>
      </c>
      <c r="K8" s="0" t="n">
        <v>102</v>
      </c>
      <c r="L8" s="0" t="n">
        <v>86</v>
      </c>
      <c r="M8" s="0" t="n">
        <v>78</v>
      </c>
      <c r="N8" s="0" t="n">
        <v>81</v>
      </c>
      <c r="O8" s="0" t="n">
        <v>79</v>
      </c>
      <c r="P8" s="0" t="n">
        <v>83</v>
      </c>
      <c r="Q8" s="0" t="n">
        <v>82</v>
      </c>
      <c r="R8" s="0" t="n">
        <v>67</v>
      </c>
      <c r="S8" s="0" t="n">
        <v>69</v>
      </c>
      <c r="T8" s="0" t="n">
        <v>81</v>
      </c>
      <c r="U8" s="0" t="n">
        <v>85</v>
      </c>
      <c r="V8" s="0" t="n">
        <v>79</v>
      </c>
      <c r="W8" s="0" t="n">
        <v>69</v>
      </c>
      <c r="X8" s="0" t="n">
        <v>90</v>
      </c>
      <c r="Y8" s="0" t="n">
        <v>69</v>
      </c>
      <c r="Z8" s="0" t="n">
        <v>71</v>
      </c>
      <c r="AA8" s="0" t="n">
        <v>86</v>
      </c>
      <c r="AB8" s="0" t="n">
        <v>89</v>
      </c>
      <c r="AC8" s="0" t="n">
        <v>75</v>
      </c>
      <c r="AD8" s="0" t="n">
        <v>77</v>
      </c>
      <c r="AE8" s="0" t="n">
        <v>9187</v>
      </c>
      <c r="AF8" s="0" t="n">
        <v>2005027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82</v>
      </c>
    </row>
    <row r="9" customFormat="false" ht="15" hidden="false" customHeight="false" outlineLevel="0" collapsed="false">
      <c r="A9" s="0" t="s">
        <v>424</v>
      </c>
      <c r="B9" s="0" t="s">
        <v>425</v>
      </c>
      <c r="C9" s="0" t="s">
        <v>39</v>
      </c>
      <c r="D9" s="0" t="s">
        <v>36</v>
      </c>
      <c r="E9" s="0" t="n">
        <v>9</v>
      </c>
      <c r="F9" s="0" t="n">
        <v>2002</v>
      </c>
      <c r="G9" s="0" t="n">
        <v>2</v>
      </c>
      <c r="H9" s="0" t="n">
        <v>13</v>
      </c>
      <c r="J9" s="0" t="n">
        <v>2.03</v>
      </c>
      <c r="K9" s="0" t="n">
        <v>100</v>
      </c>
      <c r="L9" s="0" t="n">
        <v>83</v>
      </c>
      <c r="M9" s="0" t="n">
        <v>75</v>
      </c>
      <c r="N9" s="0" t="n">
        <v>67</v>
      </c>
      <c r="O9" s="0" t="n">
        <v>60</v>
      </c>
      <c r="P9" s="0" t="n">
        <v>80</v>
      </c>
      <c r="Q9" s="0" t="n">
        <v>80</v>
      </c>
      <c r="R9" s="0" t="n">
        <v>66</v>
      </c>
      <c r="S9" s="0" t="n">
        <v>68</v>
      </c>
      <c r="T9" s="0" t="n">
        <v>79</v>
      </c>
      <c r="U9" s="0" t="n">
        <v>84</v>
      </c>
      <c r="V9" s="0" t="n">
        <v>78</v>
      </c>
      <c r="W9" s="0" t="n">
        <v>68</v>
      </c>
      <c r="X9" s="0" t="n">
        <v>89</v>
      </c>
      <c r="Y9" s="0" t="n">
        <v>69</v>
      </c>
      <c r="Z9" s="0" t="n">
        <v>70</v>
      </c>
      <c r="AA9" s="0" t="n">
        <v>85</v>
      </c>
      <c r="AB9" s="0" t="n">
        <v>88</v>
      </c>
      <c r="AC9" s="0" t="n">
        <v>74</v>
      </c>
      <c r="AD9" s="0" t="n">
        <v>75</v>
      </c>
      <c r="AE9" s="0" t="n">
        <v>9099</v>
      </c>
      <c r="AF9" s="0" t="n">
        <v>2004199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79</v>
      </c>
    </row>
    <row r="10" customFormat="false" ht="15" hidden="false" customHeight="false" outlineLevel="0" collapsed="false">
      <c r="A10" s="0" t="s">
        <v>426</v>
      </c>
      <c r="B10" s="0" t="s">
        <v>427</v>
      </c>
      <c r="C10" s="0" t="s">
        <v>45</v>
      </c>
      <c r="D10" s="0" t="s">
        <v>36</v>
      </c>
      <c r="E10" s="0" t="n">
        <v>2</v>
      </c>
      <c r="F10" s="0" t="n">
        <v>1992</v>
      </c>
      <c r="G10" s="0" t="n">
        <v>12</v>
      </c>
      <c r="H10" s="0" t="n">
        <v>8</v>
      </c>
      <c r="J10" s="0" t="n">
        <v>1.92</v>
      </c>
      <c r="K10" s="0" t="n">
        <v>92</v>
      </c>
      <c r="L10" s="0" t="n">
        <v>80</v>
      </c>
      <c r="M10" s="0" t="n">
        <v>80</v>
      </c>
      <c r="N10" s="0" t="n">
        <v>80</v>
      </c>
      <c r="O10" s="0" t="n">
        <v>85</v>
      </c>
      <c r="P10" s="0" t="n">
        <v>87</v>
      </c>
      <c r="Q10" s="0" t="n">
        <v>72</v>
      </c>
      <c r="R10" s="0" t="n">
        <v>79</v>
      </c>
      <c r="S10" s="0" t="n">
        <v>73</v>
      </c>
      <c r="T10" s="0" t="n">
        <v>62</v>
      </c>
      <c r="U10" s="0" t="n">
        <v>68</v>
      </c>
      <c r="V10" s="0" t="n">
        <v>63</v>
      </c>
      <c r="W10" s="0" t="n">
        <v>74</v>
      </c>
      <c r="X10" s="0" t="n">
        <v>69</v>
      </c>
      <c r="Y10" s="0" t="n">
        <v>69</v>
      </c>
      <c r="Z10" s="0" t="n">
        <v>81</v>
      </c>
      <c r="AA10" s="0" t="n">
        <v>80</v>
      </c>
      <c r="AB10" s="0" t="n">
        <v>79</v>
      </c>
      <c r="AC10" s="0" t="n">
        <v>79</v>
      </c>
      <c r="AD10" s="0" t="n">
        <v>83</v>
      </c>
      <c r="AE10" s="0" t="n">
        <v>9110</v>
      </c>
      <c r="AF10" s="0" t="n">
        <v>2004202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80</v>
      </c>
    </row>
    <row r="11" customFormat="false" ht="15" hidden="false" customHeight="false" outlineLevel="0" collapsed="false">
      <c r="A11" s="0" t="s">
        <v>428</v>
      </c>
      <c r="B11" s="0" t="s">
        <v>429</v>
      </c>
      <c r="C11" s="0" t="s">
        <v>39</v>
      </c>
      <c r="D11" s="0" t="s">
        <v>36</v>
      </c>
      <c r="E11" s="0" t="n">
        <v>35</v>
      </c>
      <c r="F11" s="0" t="n">
        <v>1998</v>
      </c>
      <c r="G11" s="0" t="n">
        <v>10</v>
      </c>
      <c r="H11" s="0" t="n">
        <v>3</v>
      </c>
      <c r="J11" s="0" t="n">
        <v>1.97</v>
      </c>
      <c r="K11" s="0" t="n">
        <v>96</v>
      </c>
      <c r="L11" s="0" t="n">
        <v>82</v>
      </c>
      <c r="M11" s="0" t="n">
        <v>74</v>
      </c>
      <c r="N11" s="0" t="n">
        <v>77</v>
      </c>
      <c r="O11" s="0" t="n">
        <v>69</v>
      </c>
      <c r="P11" s="0" t="n">
        <v>79</v>
      </c>
      <c r="Q11" s="0" t="n">
        <v>79</v>
      </c>
      <c r="R11" s="0" t="n">
        <v>67</v>
      </c>
      <c r="S11" s="0" t="n">
        <v>67</v>
      </c>
      <c r="T11" s="0" t="n">
        <v>78</v>
      </c>
      <c r="U11" s="0" t="n">
        <v>83</v>
      </c>
      <c r="V11" s="0" t="n">
        <v>77</v>
      </c>
      <c r="W11" s="0" t="n">
        <v>67</v>
      </c>
      <c r="X11" s="0" t="n">
        <v>85</v>
      </c>
      <c r="Y11" s="0" t="n">
        <v>83</v>
      </c>
      <c r="Z11" s="0" t="n">
        <v>71</v>
      </c>
      <c r="AA11" s="0" t="n">
        <v>84</v>
      </c>
      <c r="AB11" s="0" t="n">
        <v>84</v>
      </c>
      <c r="AC11" s="0" t="n">
        <v>72</v>
      </c>
      <c r="AD11" s="0" t="n">
        <v>74</v>
      </c>
      <c r="AE11" s="0" t="n">
        <v>5014</v>
      </c>
      <c r="AF11" s="0" t="n">
        <v>6055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80</v>
      </c>
    </row>
    <row r="12" customFormat="false" ht="15" hidden="false" customHeight="false" outlineLevel="0" collapsed="false">
      <c r="A12" s="0" t="s">
        <v>430</v>
      </c>
      <c r="B12" s="0" t="s">
        <v>431</v>
      </c>
      <c r="C12" s="0" t="s">
        <v>42</v>
      </c>
      <c r="D12" s="0" t="s">
        <v>36</v>
      </c>
      <c r="E12" s="0" t="n">
        <v>1</v>
      </c>
      <c r="F12" s="0" t="n">
        <v>1996</v>
      </c>
      <c r="G12" s="0" t="n">
        <v>6</v>
      </c>
      <c r="H12" s="0" t="n">
        <v>17</v>
      </c>
      <c r="J12" s="0" t="n">
        <v>1.88</v>
      </c>
      <c r="K12" s="0" t="n">
        <v>86</v>
      </c>
      <c r="L12" s="0" t="n">
        <v>78</v>
      </c>
      <c r="M12" s="0" t="n">
        <v>81</v>
      </c>
      <c r="N12" s="0" t="n">
        <v>83</v>
      </c>
      <c r="O12" s="0" t="n">
        <v>60</v>
      </c>
      <c r="P12" s="0" t="n">
        <v>85</v>
      </c>
      <c r="Q12" s="0" t="n">
        <v>64</v>
      </c>
      <c r="R12" s="0" t="n">
        <v>84</v>
      </c>
      <c r="S12" s="0" t="n">
        <v>75</v>
      </c>
      <c r="T12" s="0" t="n">
        <v>58</v>
      </c>
      <c r="U12" s="0" t="n">
        <v>57</v>
      </c>
      <c r="V12" s="0" t="n">
        <v>57</v>
      </c>
      <c r="W12" s="0" t="n">
        <v>78</v>
      </c>
      <c r="X12" s="0" t="n">
        <v>56</v>
      </c>
      <c r="Y12" s="0" t="n">
        <v>61</v>
      </c>
      <c r="Z12" s="0" t="n">
        <v>85</v>
      </c>
      <c r="AA12" s="0" t="n">
        <v>80</v>
      </c>
      <c r="AB12" s="0" t="n">
        <v>77</v>
      </c>
      <c r="AC12" s="0" t="n">
        <v>78</v>
      </c>
      <c r="AD12" s="0" t="n">
        <v>82</v>
      </c>
      <c r="AE12" s="0" t="n">
        <v>9112</v>
      </c>
      <c r="AF12" s="0" t="n">
        <v>2004206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80</v>
      </c>
    </row>
    <row r="13" customFormat="false" ht="15" hidden="false" customHeight="false" outlineLevel="0" collapsed="false">
      <c r="A13" s="0" t="s">
        <v>432</v>
      </c>
      <c r="B13" s="0" t="s">
        <v>433</v>
      </c>
      <c r="C13" s="0" t="s">
        <v>42</v>
      </c>
      <c r="D13" s="0" t="s">
        <v>36</v>
      </c>
      <c r="E13" s="0" t="n">
        <v>8</v>
      </c>
      <c r="F13" s="0" t="n">
        <v>2005</v>
      </c>
      <c r="G13" s="0" t="n">
        <v>6</v>
      </c>
      <c r="H13" s="0" t="n">
        <v>8</v>
      </c>
      <c r="J13" s="0" t="n">
        <v>1.92</v>
      </c>
      <c r="K13" s="0" t="n">
        <v>85</v>
      </c>
      <c r="L13" s="0" t="n">
        <v>78</v>
      </c>
      <c r="M13" s="0" t="n">
        <v>81</v>
      </c>
      <c r="N13" s="0" t="n">
        <v>90</v>
      </c>
      <c r="O13" s="0" t="n">
        <v>88</v>
      </c>
      <c r="P13" s="0" t="n">
        <v>85</v>
      </c>
      <c r="Q13" s="0" t="n">
        <v>66</v>
      </c>
      <c r="R13" s="0" t="n">
        <v>84</v>
      </c>
      <c r="S13" s="0" t="n">
        <v>71</v>
      </c>
      <c r="T13" s="0" t="n">
        <v>58</v>
      </c>
      <c r="U13" s="0" t="n">
        <v>57</v>
      </c>
      <c r="V13" s="0" t="n">
        <v>57</v>
      </c>
      <c r="W13" s="0" t="n">
        <v>78</v>
      </c>
      <c r="X13" s="0" t="n">
        <v>56</v>
      </c>
      <c r="Y13" s="0" t="n">
        <v>61</v>
      </c>
      <c r="Z13" s="0" t="n">
        <v>92</v>
      </c>
      <c r="AA13" s="0" t="n">
        <v>83</v>
      </c>
      <c r="AB13" s="0" t="n">
        <v>77</v>
      </c>
      <c r="AC13" s="0" t="n">
        <v>71</v>
      </c>
      <c r="AD13" s="0" t="n">
        <v>71</v>
      </c>
      <c r="AE13" s="0" t="n">
        <v>9126</v>
      </c>
      <c r="AF13" s="0" t="n">
        <v>2004267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81</v>
      </c>
    </row>
    <row r="14" customFormat="false" ht="15" hidden="false" customHeight="false" outlineLevel="0" collapsed="false">
      <c r="A14" s="0" t="s">
        <v>434</v>
      </c>
      <c r="B14" s="0" t="s">
        <v>435</v>
      </c>
      <c r="C14" s="0" t="s">
        <v>45</v>
      </c>
      <c r="D14" s="0" t="s">
        <v>36</v>
      </c>
      <c r="E14" s="0" t="n">
        <v>77</v>
      </c>
      <c r="F14" s="0" t="n">
        <v>2006</v>
      </c>
      <c r="G14" s="0" t="n">
        <v>3</v>
      </c>
      <c r="H14" s="0" t="n">
        <v>11</v>
      </c>
      <c r="J14" s="0" t="n">
        <v>1.96</v>
      </c>
      <c r="K14" s="0" t="n">
        <v>90</v>
      </c>
      <c r="L14" s="0" t="n">
        <v>76</v>
      </c>
      <c r="M14" s="0" t="n">
        <v>76</v>
      </c>
      <c r="N14" s="0" t="n">
        <v>60</v>
      </c>
      <c r="O14" s="0" t="n">
        <v>69</v>
      </c>
      <c r="P14" s="0" t="n">
        <v>80</v>
      </c>
      <c r="Q14" s="0" t="n">
        <v>72</v>
      </c>
      <c r="R14" s="0" t="n">
        <v>73</v>
      </c>
      <c r="S14" s="0" t="n">
        <v>65</v>
      </c>
      <c r="T14" s="0" t="n">
        <v>58</v>
      </c>
      <c r="U14" s="0" t="n">
        <v>68</v>
      </c>
      <c r="V14" s="0" t="n">
        <v>63</v>
      </c>
      <c r="W14" s="0" t="n">
        <v>70</v>
      </c>
      <c r="X14" s="0" t="n">
        <v>65</v>
      </c>
      <c r="Y14" s="0" t="n">
        <v>65</v>
      </c>
      <c r="Z14" s="0" t="n">
        <v>82</v>
      </c>
      <c r="AA14" s="0" t="n">
        <v>79</v>
      </c>
      <c r="AB14" s="0" t="n">
        <v>75</v>
      </c>
      <c r="AC14" s="0" t="n">
        <v>68</v>
      </c>
      <c r="AD14" s="0" t="n">
        <v>68</v>
      </c>
      <c r="AE14" s="0" t="n">
        <v>9168</v>
      </c>
      <c r="AF14" s="0" t="n">
        <v>2004707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72</v>
      </c>
    </row>
    <row r="15" customFormat="false" ht="15" hidden="false" customHeight="false" outlineLevel="0" collapsed="false">
      <c r="A15" s="0" t="s">
        <v>217</v>
      </c>
      <c r="B15" s="0" t="s">
        <v>436</v>
      </c>
      <c r="C15" s="0" t="s">
        <v>52</v>
      </c>
      <c r="D15" s="0" t="s">
        <v>36</v>
      </c>
      <c r="E15" s="0" t="n">
        <v>36</v>
      </c>
      <c r="F15" s="0" t="n">
        <v>2005</v>
      </c>
      <c r="G15" s="0" t="n">
        <v>7</v>
      </c>
      <c r="H15" s="0" t="n">
        <v>31</v>
      </c>
      <c r="J15" s="0" t="n">
        <v>2.1</v>
      </c>
      <c r="K15" s="0" t="n">
        <v>115</v>
      </c>
      <c r="L15" s="0" t="n">
        <v>81</v>
      </c>
      <c r="M15" s="0" t="n">
        <v>64</v>
      </c>
      <c r="N15" s="0" t="n">
        <v>52</v>
      </c>
      <c r="O15" s="0" t="n">
        <v>60</v>
      </c>
      <c r="P15" s="0" t="n">
        <v>72</v>
      </c>
      <c r="Q15" s="0" t="n">
        <v>83</v>
      </c>
      <c r="R15" s="0" t="n">
        <v>52</v>
      </c>
      <c r="S15" s="0" t="n">
        <v>53</v>
      </c>
      <c r="T15" s="0" t="n">
        <v>76</v>
      </c>
      <c r="U15" s="0" t="n">
        <v>93</v>
      </c>
      <c r="V15" s="0" t="n">
        <v>86</v>
      </c>
      <c r="W15" s="0" t="n">
        <v>57</v>
      </c>
      <c r="X15" s="0" t="n">
        <v>90</v>
      </c>
      <c r="Y15" s="0" t="n">
        <v>87</v>
      </c>
      <c r="Z15" s="0" t="n">
        <v>50</v>
      </c>
      <c r="AA15" s="0" t="n">
        <v>81</v>
      </c>
      <c r="AB15" s="0" t="n">
        <v>83</v>
      </c>
      <c r="AC15" s="0" t="n">
        <v>60</v>
      </c>
      <c r="AD15" s="0" t="n">
        <v>62</v>
      </c>
      <c r="AE15" s="0" t="n">
        <v>9124</v>
      </c>
      <c r="AF15" s="0" t="n">
        <v>2004266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191</v>
      </c>
      <c r="B2" s="0" t="s">
        <v>303</v>
      </c>
      <c r="C2" s="0" t="s">
        <v>35</v>
      </c>
      <c r="D2" s="0" t="s">
        <v>36</v>
      </c>
      <c r="E2" s="0" t="n">
        <v>20</v>
      </c>
      <c r="F2" s="0" t="n">
        <v>2005</v>
      </c>
      <c r="G2" s="0" t="n">
        <v>2</v>
      </c>
      <c r="H2" s="0" t="n">
        <v>20</v>
      </c>
      <c r="J2" s="0" t="n">
        <v>1.91</v>
      </c>
      <c r="K2" s="0" t="n">
        <v>83</v>
      </c>
      <c r="L2" s="0" t="n">
        <v>84</v>
      </c>
      <c r="M2" s="0" t="n">
        <v>89</v>
      </c>
      <c r="N2" s="0" t="n">
        <v>67</v>
      </c>
      <c r="O2" s="0" t="n">
        <v>97</v>
      </c>
      <c r="P2" s="0" t="n">
        <v>95</v>
      </c>
      <c r="Q2" s="0" t="n">
        <v>70</v>
      </c>
      <c r="R2" s="0" t="n">
        <v>99</v>
      </c>
      <c r="S2" s="0" t="n">
        <v>95</v>
      </c>
      <c r="T2" s="0" t="n">
        <v>63</v>
      </c>
      <c r="U2" s="0" t="n">
        <v>58</v>
      </c>
      <c r="V2" s="0" t="n">
        <v>58</v>
      </c>
      <c r="W2" s="0" t="n">
        <v>97</v>
      </c>
      <c r="X2" s="0" t="n">
        <v>62</v>
      </c>
      <c r="Y2" s="0" t="n">
        <v>64</v>
      </c>
      <c r="Z2" s="0" t="n">
        <v>99</v>
      </c>
      <c r="AA2" s="0" t="n">
        <v>89</v>
      </c>
      <c r="AB2" s="0" t="n">
        <v>84</v>
      </c>
      <c r="AC2" s="0" t="n">
        <v>79</v>
      </c>
      <c r="AD2" s="0" t="n">
        <v>77</v>
      </c>
      <c r="AE2" s="0" t="n">
        <v>9003</v>
      </c>
      <c r="AF2" s="0" t="n">
        <v>1400000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92</v>
      </c>
    </row>
    <row r="3" customFormat="false" ht="15" hidden="false" customHeight="false" outlineLevel="0" collapsed="false">
      <c r="A3" s="0" t="s">
        <v>437</v>
      </c>
      <c r="B3" s="0" t="s">
        <v>438</v>
      </c>
      <c r="C3" s="0" t="s">
        <v>42</v>
      </c>
      <c r="D3" s="0" t="s">
        <v>36</v>
      </c>
      <c r="E3" s="0" t="n">
        <v>11</v>
      </c>
      <c r="F3" s="0" t="n">
        <v>2002</v>
      </c>
      <c r="G3" s="0" t="n">
        <v>8</v>
      </c>
      <c r="H3" s="0" t="n">
        <v>5</v>
      </c>
      <c r="J3" s="0" t="n">
        <v>1.88</v>
      </c>
      <c r="K3" s="0" t="n">
        <v>87</v>
      </c>
      <c r="L3" s="0" t="n">
        <v>86</v>
      </c>
      <c r="M3" s="0" t="n">
        <v>89</v>
      </c>
      <c r="N3" s="0" t="n">
        <v>67</v>
      </c>
      <c r="O3" s="0" t="n">
        <v>92</v>
      </c>
      <c r="P3" s="0" t="n">
        <v>93</v>
      </c>
      <c r="Q3" s="0" t="n">
        <v>70</v>
      </c>
      <c r="R3" s="0" t="n">
        <v>86</v>
      </c>
      <c r="S3" s="0" t="n">
        <v>77</v>
      </c>
      <c r="T3" s="0" t="n">
        <v>65</v>
      </c>
      <c r="U3" s="0" t="n">
        <v>61</v>
      </c>
      <c r="V3" s="0" t="n">
        <v>61</v>
      </c>
      <c r="W3" s="0" t="n">
        <v>85</v>
      </c>
      <c r="X3" s="0" t="n">
        <v>60</v>
      </c>
      <c r="Y3" s="0" t="n">
        <v>70</v>
      </c>
      <c r="Z3" s="0" t="n">
        <v>92</v>
      </c>
      <c r="AA3" s="0" t="n">
        <v>87</v>
      </c>
      <c r="AB3" s="0" t="n">
        <v>81</v>
      </c>
      <c r="AC3" s="0" t="n">
        <v>82</v>
      </c>
      <c r="AD3" s="0" t="n">
        <v>82</v>
      </c>
      <c r="AE3" s="0" t="n">
        <v>9038</v>
      </c>
      <c r="AF3" s="0" t="n">
        <v>2003150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86</v>
      </c>
    </row>
    <row r="4" customFormat="false" ht="15" hidden="false" customHeight="false" outlineLevel="0" collapsed="false">
      <c r="A4" s="0" t="s">
        <v>439</v>
      </c>
      <c r="B4" s="0" t="s">
        <v>440</v>
      </c>
      <c r="C4" s="0" t="s">
        <v>45</v>
      </c>
      <c r="D4" s="0" t="s">
        <v>36</v>
      </c>
      <c r="E4" s="0" t="n">
        <v>2</v>
      </c>
      <c r="F4" s="0" t="n">
        <v>2000</v>
      </c>
      <c r="G4" s="0" t="n">
        <v>10</v>
      </c>
      <c r="H4" s="0" t="n">
        <v>7</v>
      </c>
      <c r="J4" s="0" t="n">
        <v>2.02</v>
      </c>
      <c r="K4" s="0" t="n">
        <v>95</v>
      </c>
      <c r="L4" s="0" t="n">
        <v>90</v>
      </c>
      <c r="M4" s="0" t="n">
        <v>87</v>
      </c>
      <c r="N4" s="0" t="n">
        <v>87</v>
      </c>
      <c r="O4" s="0" t="n">
        <v>91</v>
      </c>
      <c r="P4" s="0" t="n">
        <v>94</v>
      </c>
      <c r="Q4" s="0" t="n">
        <v>79</v>
      </c>
      <c r="R4" s="0" t="n">
        <v>78</v>
      </c>
      <c r="S4" s="0" t="n">
        <v>74</v>
      </c>
      <c r="T4" s="0" t="n">
        <v>69</v>
      </c>
      <c r="U4" s="0" t="n">
        <v>77</v>
      </c>
      <c r="V4" s="0" t="n">
        <v>70</v>
      </c>
      <c r="W4" s="0" t="n">
        <v>77</v>
      </c>
      <c r="X4" s="0" t="n">
        <v>78</v>
      </c>
      <c r="Y4" s="0" t="n">
        <v>69</v>
      </c>
      <c r="Z4" s="0" t="n">
        <v>83</v>
      </c>
      <c r="AA4" s="0" t="n">
        <v>86</v>
      </c>
      <c r="AB4" s="0" t="n">
        <v>88</v>
      </c>
      <c r="AC4" s="0" t="n">
        <v>80</v>
      </c>
      <c r="AD4" s="0" t="n">
        <v>84</v>
      </c>
      <c r="AE4" s="0" t="n">
        <v>9053</v>
      </c>
      <c r="AF4" s="0" t="n">
        <v>2003819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86</v>
      </c>
    </row>
    <row r="5" customFormat="false" ht="15" hidden="false" customHeight="false" outlineLevel="0" collapsed="false">
      <c r="A5" s="0" t="s">
        <v>441</v>
      </c>
      <c r="B5" s="0" t="s">
        <v>442</v>
      </c>
      <c r="C5" s="0" t="s">
        <v>39</v>
      </c>
      <c r="D5" s="0" t="s">
        <v>36</v>
      </c>
      <c r="E5" s="0" t="n">
        <v>23</v>
      </c>
      <c r="F5" s="0" t="n">
        <v>1997</v>
      </c>
      <c r="G5" s="0" t="n">
        <v>7</v>
      </c>
      <c r="H5" s="0" t="n">
        <v>23</v>
      </c>
      <c r="J5" s="0" t="n">
        <v>1.95</v>
      </c>
      <c r="K5" s="0" t="n">
        <v>97</v>
      </c>
      <c r="L5" s="0" t="n">
        <v>89</v>
      </c>
      <c r="M5" s="0" t="n">
        <v>78</v>
      </c>
      <c r="N5" s="0" t="n">
        <v>74</v>
      </c>
      <c r="O5" s="0" t="n">
        <v>69</v>
      </c>
      <c r="P5" s="0" t="n">
        <v>86</v>
      </c>
      <c r="Q5" s="0" t="n">
        <v>82</v>
      </c>
      <c r="R5" s="0" t="n">
        <v>69</v>
      </c>
      <c r="S5" s="0" t="n">
        <v>69</v>
      </c>
      <c r="T5" s="0" t="n">
        <v>82</v>
      </c>
      <c r="U5" s="0" t="n">
        <v>85</v>
      </c>
      <c r="V5" s="0" t="n">
        <v>79</v>
      </c>
      <c r="W5" s="0" t="n">
        <v>69</v>
      </c>
      <c r="X5" s="0" t="n">
        <v>90</v>
      </c>
      <c r="Y5" s="0" t="n">
        <v>69</v>
      </c>
      <c r="Z5" s="0" t="n">
        <v>73</v>
      </c>
      <c r="AA5" s="0" t="n">
        <v>86</v>
      </c>
      <c r="AB5" s="0" t="n">
        <v>89</v>
      </c>
      <c r="AC5" s="0" t="n">
        <v>75</v>
      </c>
      <c r="AD5" s="0" t="n">
        <v>77</v>
      </c>
      <c r="AE5" s="0" t="n">
        <v>5068</v>
      </c>
      <c r="AF5" s="0" t="n">
        <v>2000371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82</v>
      </c>
    </row>
    <row r="6" customFormat="false" ht="15" hidden="false" customHeight="false" outlineLevel="0" collapsed="false">
      <c r="A6" s="0" t="s">
        <v>300</v>
      </c>
      <c r="B6" s="0" t="s">
        <v>443</v>
      </c>
      <c r="C6" s="0" t="s">
        <v>42</v>
      </c>
      <c r="D6" s="0" t="s">
        <v>36</v>
      </c>
      <c r="E6" s="0" t="n">
        <v>7</v>
      </c>
      <c r="F6" s="0" t="n">
        <v>1996</v>
      </c>
      <c r="G6" s="0" t="n">
        <v>3</v>
      </c>
      <c r="H6" s="0" t="n">
        <v>28</v>
      </c>
      <c r="J6" s="0" t="n">
        <v>1.9</v>
      </c>
      <c r="K6" s="0" t="n">
        <v>82</v>
      </c>
      <c r="L6" s="0" t="n">
        <v>81</v>
      </c>
      <c r="M6" s="0" t="n">
        <v>84</v>
      </c>
      <c r="N6" s="0" t="n">
        <v>67</v>
      </c>
      <c r="O6" s="0" t="n">
        <v>91</v>
      </c>
      <c r="P6" s="0" t="n">
        <v>88</v>
      </c>
      <c r="Q6" s="0" t="n">
        <v>67</v>
      </c>
      <c r="R6" s="0" t="n">
        <v>87</v>
      </c>
      <c r="S6" s="0" t="n">
        <v>78</v>
      </c>
      <c r="T6" s="0" t="n">
        <v>61</v>
      </c>
      <c r="U6" s="0" t="n">
        <v>60</v>
      </c>
      <c r="V6" s="0" t="n">
        <v>60</v>
      </c>
      <c r="W6" s="0" t="n">
        <v>84</v>
      </c>
      <c r="X6" s="0" t="n">
        <v>59</v>
      </c>
      <c r="Y6" s="0" t="n">
        <v>64</v>
      </c>
      <c r="Z6" s="0" t="n">
        <v>90</v>
      </c>
      <c r="AA6" s="0" t="n">
        <v>83</v>
      </c>
      <c r="AB6" s="0" t="n">
        <v>80</v>
      </c>
      <c r="AC6" s="0" t="n">
        <v>82</v>
      </c>
      <c r="AD6" s="0" t="n">
        <v>85</v>
      </c>
      <c r="AE6" s="0" t="n">
        <v>9036</v>
      </c>
      <c r="AF6" s="0" t="n">
        <v>2003143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83</v>
      </c>
    </row>
    <row r="7" customFormat="false" ht="15" hidden="false" customHeight="false" outlineLevel="0" collapsed="false">
      <c r="A7" s="0" t="s">
        <v>444</v>
      </c>
      <c r="B7" s="0" t="s">
        <v>445</v>
      </c>
      <c r="C7" s="0" t="s">
        <v>52</v>
      </c>
      <c r="D7" s="0" t="s">
        <v>36</v>
      </c>
      <c r="E7" s="0" t="n">
        <v>24</v>
      </c>
      <c r="F7" s="0" t="n">
        <v>2002</v>
      </c>
      <c r="G7" s="0" t="n">
        <v>11</v>
      </c>
      <c r="H7" s="0" t="n">
        <v>1</v>
      </c>
      <c r="J7" s="0" t="n">
        <v>2.08</v>
      </c>
      <c r="K7" s="0" t="n">
        <v>104</v>
      </c>
      <c r="L7" s="0" t="n">
        <v>87</v>
      </c>
      <c r="M7" s="0" t="n">
        <v>70</v>
      </c>
      <c r="N7" s="0" t="n">
        <v>58</v>
      </c>
      <c r="O7" s="0" t="n">
        <v>69</v>
      </c>
      <c r="P7" s="0" t="n">
        <v>78</v>
      </c>
      <c r="Q7" s="0" t="n">
        <v>85</v>
      </c>
      <c r="R7" s="0" t="n">
        <v>58</v>
      </c>
      <c r="S7" s="0" t="n">
        <v>61</v>
      </c>
      <c r="T7" s="0" t="n">
        <v>82</v>
      </c>
      <c r="U7" s="0" t="n">
        <v>91</v>
      </c>
      <c r="V7" s="0" t="n">
        <v>90</v>
      </c>
      <c r="W7" s="0" t="n">
        <v>63</v>
      </c>
      <c r="X7" s="0" t="n">
        <v>98</v>
      </c>
      <c r="Y7" s="0" t="n">
        <v>96</v>
      </c>
      <c r="Z7" s="0" t="n">
        <v>60</v>
      </c>
      <c r="AA7" s="0" t="n">
        <v>87</v>
      </c>
      <c r="AB7" s="0" t="n">
        <v>96</v>
      </c>
      <c r="AC7" s="0" t="n">
        <v>72</v>
      </c>
      <c r="AD7" s="0" t="n">
        <v>74</v>
      </c>
      <c r="AE7" s="0" t="n">
        <v>9005</v>
      </c>
      <c r="AF7" s="0" t="n">
        <v>1400004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87</v>
      </c>
    </row>
    <row r="8" customFormat="false" ht="15" hidden="false" customHeight="false" outlineLevel="0" collapsed="false">
      <c r="A8" s="0" t="s">
        <v>446</v>
      </c>
      <c r="B8" s="0" t="s">
        <v>447</v>
      </c>
      <c r="C8" s="0" t="s">
        <v>35</v>
      </c>
      <c r="D8" s="0" t="s">
        <v>36</v>
      </c>
      <c r="E8" s="0" t="n">
        <v>3</v>
      </c>
      <c r="F8" s="0" t="n">
        <v>2000</v>
      </c>
      <c r="G8" s="0" t="n">
        <v>2</v>
      </c>
      <c r="H8" s="0" t="n">
        <v>4</v>
      </c>
      <c r="J8" s="0" t="n">
        <v>1.88</v>
      </c>
      <c r="K8" s="0" t="n">
        <v>80</v>
      </c>
      <c r="L8" s="0" t="n">
        <v>78</v>
      </c>
      <c r="M8" s="0" t="n">
        <v>83</v>
      </c>
      <c r="N8" s="0" t="n">
        <v>85</v>
      </c>
      <c r="O8" s="0" t="n">
        <v>96</v>
      </c>
      <c r="P8" s="0" t="n">
        <v>89</v>
      </c>
      <c r="Q8" s="0" t="n">
        <v>63</v>
      </c>
      <c r="R8" s="0" t="n">
        <v>94</v>
      </c>
      <c r="S8" s="0" t="n">
        <v>90</v>
      </c>
      <c r="T8" s="0" t="n">
        <v>58</v>
      </c>
      <c r="U8" s="0" t="n">
        <v>54</v>
      </c>
      <c r="V8" s="0" t="n">
        <v>54</v>
      </c>
      <c r="W8" s="0" t="n">
        <v>90</v>
      </c>
      <c r="X8" s="0" t="n">
        <v>58</v>
      </c>
      <c r="Y8" s="0" t="n">
        <v>60</v>
      </c>
      <c r="Z8" s="0" t="n">
        <v>94</v>
      </c>
      <c r="AA8" s="0" t="n">
        <v>85</v>
      </c>
      <c r="AB8" s="0" t="n">
        <v>80</v>
      </c>
      <c r="AC8" s="0" t="n">
        <v>78</v>
      </c>
      <c r="AD8" s="0" t="n">
        <v>79</v>
      </c>
      <c r="AE8" s="0" t="n">
        <v>9037</v>
      </c>
      <c r="AF8" s="0" t="n">
        <v>2003146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87</v>
      </c>
    </row>
    <row r="9" customFormat="false" ht="15" hidden="false" customHeight="false" outlineLevel="0" collapsed="false">
      <c r="A9" s="0" t="s">
        <v>448</v>
      </c>
      <c r="B9" s="0" t="s">
        <v>449</v>
      </c>
      <c r="C9" s="0" t="s">
        <v>39</v>
      </c>
      <c r="D9" s="0" t="s">
        <v>36</v>
      </c>
      <c r="E9" s="0" t="n">
        <v>12</v>
      </c>
      <c r="F9" s="0" t="n">
        <v>1999</v>
      </c>
      <c r="G9" s="0" t="n">
        <v>9</v>
      </c>
      <c r="H9" s="0" t="n">
        <v>10</v>
      </c>
      <c r="J9" s="0" t="n">
        <v>2.03</v>
      </c>
      <c r="K9" s="0" t="n">
        <v>95</v>
      </c>
      <c r="L9" s="0" t="n">
        <v>82</v>
      </c>
      <c r="M9" s="0" t="n">
        <v>74</v>
      </c>
      <c r="N9" s="0" t="n">
        <v>82</v>
      </c>
      <c r="O9" s="0" t="n">
        <v>85</v>
      </c>
      <c r="P9" s="0" t="n">
        <v>79</v>
      </c>
      <c r="Q9" s="0" t="n">
        <v>79</v>
      </c>
      <c r="R9" s="0" t="n">
        <v>65</v>
      </c>
      <c r="S9" s="0" t="n">
        <v>67</v>
      </c>
      <c r="T9" s="0" t="n">
        <v>78</v>
      </c>
      <c r="U9" s="0" t="n">
        <v>83</v>
      </c>
      <c r="V9" s="0" t="n">
        <v>77</v>
      </c>
      <c r="W9" s="0" t="n">
        <v>67</v>
      </c>
      <c r="X9" s="0" t="n">
        <v>85</v>
      </c>
      <c r="Y9" s="0" t="n">
        <v>69</v>
      </c>
      <c r="Z9" s="0" t="n">
        <v>69</v>
      </c>
      <c r="AA9" s="0" t="n">
        <v>84</v>
      </c>
      <c r="AB9" s="0" t="n">
        <v>84</v>
      </c>
      <c r="AC9" s="0" t="n">
        <v>73</v>
      </c>
      <c r="AD9" s="0" t="n">
        <v>74</v>
      </c>
      <c r="AE9" s="0" t="n">
        <v>9114</v>
      </c>
      <c r="AF9" s="0" t="n">
        <v>2004210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79</v>
      </c>
    </row>
    <row r="10" customFormat="false" ht="15" hidden="false" customHeight="false" outlineLevel="0" collapsed="false">
      <c r="A10" s="0" t="s">
        <v>450</v>
      </c>
      <c r="B10" s="0" t="s">
        <v>451</v>
      </c>
      <c r="C10" s="0" t="s">
        <v>52</v>
      </c>
      <c r="D10" s="0" t="s">
        <v>36</v>
      </c>
      <c r="E10" s="0" t="n">
        <v>34</v>
      </c>
      <c r="F10" s="0" t="n">
        <v>2002</v>
      </c>
      <c r="G10" s="0" t="n">
        <v>5</v>
      </c>
      <c r="H10" s="0" t="n">
        <v>17</v>
      </c>
      <c r="J10" s="0" t="n">
        <v>2.06</v>
      </c>
      <c r="K10" s="0" t="n">
        <v>116</v>
      </c>
      <c r="L10" s="0" t="n">
        <v>92</v>
      </c>
      <c r="M10" s="0" t="n">
        <v>69</v>
      </c>
      <c r="N10" s="0" t="n">
        <v>52</v>
      </c>
      <c r="O10" s="0" t="n">
        <v>60</v>
      </c>
      <c r="P10" s="0" t="n">
        <v>83</v>
      </c>
      <c r="Q10" s="0" t="n">
        <v>84</v>
      </c>
      <c r="R10" s="0" t="n">
        <v>57</v>
      </c>
      <c r="S10" s="0" t="n">
        <v>60</v>
      </c>
      <c r="T10" s="0" t="n">
        <v>83</v>
      </c>
      <c r="U10" s="0" t="n">
        <v>96</v>
      </c>
      <c r="V10" s="0" t="n">
        <v>89</v>
      </c>
      <c r="W10" s="0" t="n">
        <v>62</v>
      </c>
      <c r="X10" s="0" t="n">
        <v>90</v>
      </c>
      <c r="Y10" s="0" t="n">
        <v>80</v>
      </c>
      <c r="Z10" s="0" t="n">
        <v>53</v>
      </c>
      <c r="AA10" s="0" t="n">
        <v>86</v>
      </c>
      <c r="AB10" s="0" t="n">
        <v>88</v>
      </c>
      <c r="AC10" s="0" t="n">
        <v>70</v>
      </c>
      <c r="AD10" s="0" t="n">
        <v>73</v>
      </c>
      <c r="AE10" s="0" t="n">
        <v>9035</v>
      </c>
      <c r="AF10" s="0" t="n">
        <v>2003142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84</v>
      </c>
    </row>
    <row r="11" customFormat="false" ht="15" hidden="false" customHeight="false" outlineLevel="0" collapsed="false">
      <c r="A11" s="0" t="s">
        <v>452</v>
      </c>
      <c r="B11" s="0" t="s">
        <v>453</v>
      </c>
      <c r="C11" s="0" t="s">
        <v>42</v>
      </c>
      <c r="D11" s="0" t="s">
        <v>36</v>
      </c>
      <c r="E11" s="0" t="n">
        <v>26</v>
      </c>
      <c r="F11" s="0" t="n">
        <v>1992</v>
      </c>
      <c r="G11" s="0" t="n">
        <v>1</v>
      </c>
      <c r="H11" s="0" t="n">
        <v>4</v>
      </c>
      <c r="J11" s="0" t="n">
        <v>1.91</v>
      </c>
      <c r="K11" s="0" t="n">
        <v>88</v>
      </c>
      <c r="L11" s="0" t="n">
        <v>79</v>
      </c>
      <c r="M11" s="0" t="n">
        <v>82</v>
      </c>
      <c r="N11" s="0" t="n">
        <v>84</v>
      </c>
      <c r="O11" s="0" t="n">
        <v>89</v>
      </c>
      <c r="P11" s="0" t="n">
        <v>86</v>
      </c>
      <c r="Q11" s="0" t="n">
        <v>65</v>
      </c>
      <c r="R11" s="0" t="n">
        <v>85</v>
      </c>
      <c r="S11" s="0" t="n">
        <v>76</v>
      </c>
      <c r="T11" s="0" t="n">
        <v>59</v>
      </c>
      <c r="U11" s="0" t="n">
        <v>58</v>
      </c>
      <c r="V11" s="0" t="n">
        <v>58</v>
      </c>
      <c r="W11" s="0" t="n">
        <v>79</v>
      </c>
      <c r="X11" s="0" t="n">
        <v>57</v>
      </c>
      <c r="Y11" s="0" t="n">
        <v>64</v>
      </c>
      <c r="Z11" s="0" t="n">
        <v>86</v>
      </c>
      <c r="AA11" s="0" t="n">
        <v>81</v>
      </c>
      <c r="AB11" s="0" t="n">
        <v>78</v>
      </c>
      <c r="AC11" s="0" t="n">
        <v>80</v>
      </c>
      <c r="AD11" s="0" t="n">
        <v>83</v>
      </c>
      <c r="AE11" s="0" t="n">
        <v>5036</v>
      </c>
      <c r="AF11" s="0" t="n">
        <v>56773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83</v>
      </c>
    </row>
    <row r="12" customFormat="false" ht="15" hidden="false" customHeight="false" outlineLevel="0" collapsed="false">
      <c r="A12" s="0" t="s">
        <v>454</v>
      </c>
      <c r="B12" s="0" t="s">
        <v>168</v>
      </c>
      <c r="C12" s="0" t="s">
        <v>42</v>
      </c>
      <c r="D12" s="0" t="s">
        <v>36</v>
      </c>
      <c r="E12" s="0" t="n">
        <v>14</v>
      </c>
      <c r="F12" s="0" t="n">
        <v>2002</v>
      </c>
      <c r="G12" s="0" t="n">
        <v>1</v>
      </c>
      <c r="H12" s="0" t="n">
        <v>27</v>
      </c>
      <c r="J12" s="0" t="n">
        <v>1.91</v>
      </c>
      <c r="K12" s="0" t="n">
        <v>100</v>
      </c>
      <c r="L12" s="0" t="n">
        <v>79</v>
      </c>
      <c r="M12" s="0" t="n">
        <v>82</v>
      </c>
      <c r="N12" s="0" t="n">
        <v>60</v>
      </c>
      <c r="O12" s="0" t="n">
        <v>60</v>
      </c>
      <c r="P12" s="0" t="n">
        <v>86</v>
      </c>
      <c r="Q12" s="0" t="n">
        <v>65</v>
      </c>
      <c r="R12" s="0" t="n">
        <v>85</v>
      </c>
      <c r="S12" s="0" t="n">
        <v>74</v>
      </c>
      <c r="T12" s="0" t="n">
        <v>59</v>
      </c>
      <c r="U12" s="0" t="n">
        <v>60</v>
      </c>
      <c r="V12" s="0" t="n">
        <v>58</v>
      </c>
      <c r="W12" s="0" t="n">
        <v>79</v>
      </c>
      <c r="X12" s="0" t="n">
        <v>60</v>
      </c>
      <c r="Y12" s="0" t="n">
        <v>64</v>
      </c>
      <c r="Z12" s="0" t="n">
        <v>89</v>
      </c>
      <c r="AA12" s="0" t="n">
        <v>84</v>
      </c>
      <c r="AB12" s="0" t="n">
        <v>81</v>
      </c>
      <c r="AC12" s="0" t="n">
        <v>77</v>
      </c>
      <c r="AD12" s="0" t="n">
        <v>78</v>
      </c>
      <c r="AE12" s="0" t="n">
        <v>9185</v>
      </c>
      <c r="AF12" s="0" t="n">
        <v>2004990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79</v>
      </c>
    </row>
    <row r="13" customFormat="false" ht="15" hidden="false" customHeight="false" outlineLevel="0" collapsed="false">
      <c r="A13" s="0" t="s">
        <v>201</v>
      </c>
      <c r="B13" s="0" t="s">
        <v>455</v>
      </c>
      <c r="C13" s="0" t="s">
        <v>45</v>
      </c>
      <c r="D13" s="0" t="s">
        <v>36</v>
      </c>
      <c r="E13" s="0" t="n">
        <v>10</v>
      </c>
      <c r="F13" s="0" t="n">
        <v>2002</v>
      </c>
      <c r="G13" s="0" t="n">
        <v>5</v>
      </c>
      <c r="H13" s="0" t="n">
        <v>7</v>
      </c>
      <c r="J13" s="0" t="n">
        <v>1.94</v>
      </c>
      <c r="K13" s="0" t="n">
        <v>86</v>
      </c>
      <c r="L13" s="0" t="n">
        <v>80</v>
      </c>
      <c r="M13" s="0" t="n">
        <v>80</v>
      </c>
      <c r="N13" s="0" t="n">
        <v>60</v>
      </c>
      <c r="O13" s="0" t="n">
        <v>60</v>
      </c>
      <c r="P13" s="0" t="n">
        <v>84</v>
      </c>
      <c r="Q13" s="0" t="n">
        <v>74</v>
      </c>
      <c r="R13" s="0" t="n">
        <v>77</v>
      </c>
      <c r="S13" s="0" t="n">
        <v>71</v>
      </c>
      <c r="T13" s="0" t="n">
        <v>62</v>
      </c>
      <c r="U13" s="0" t="n">
        <v>72</v>
      </c>
      <c r="V13" s="0" t="n">
        <v>67</v>
      </c>
      <c r="W13" s="0" t="n">
        <v>77</v>
      </c>
      <c r="X13" s="0" t="n">
        <v>69</v>
      </c>
      <c r="Y13" s="0" t="n">
        <v>69</v>
      </c>
      <c r="Z13" s="0" t="n">
        <v>82</v>
      </c>
      <c r="AA13" s="0" t="n">
        <v>83</v>
      </c>
      <c r="AB13" s="0" t="n">
        <v>79</v>
      </c>
      <c r="AC13" s="0" t="n">
        <v>77</v>
      </c>
      <c r="AD13" s="0" t="n">
        <v>78</v>
      </c>
      <c r="AE13" s="0" t="n">
        <v>9052</v>
      </c>
      <c r="AF13" s="0" t="n">
        <v>2003798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78</v>
      </c>
    </row>
    <row r="14" customFormat="false" ht="15" hidden="false" customHeight="false" outlineLevel="0" collapsed="false">
      <c r="A14" s="0" t="s">
        <v>456</v>
      </c>
      <c r="B14" s="0" t="s">
        <v>457</v>
      </c>
      <c r="C14" s="0" t="s">
        <v>52</v>
      </c>
      <c r="D14" s="0" t="s">
        <v>36</v>
      </c>
      <c r="E14" s="0" t="n">
        <v>17</v>
      </c>
      <c r="F14" s="0" t="n">
        <v>2006</v>
      </c>
      <c r="G14" s="0" t="n">
        <v>5</v>
      </c>
      <c r="H14" s="0" t="n">
        <v>26</v>
      </c>
      <c r="J14" s="0" t="n">
        <v>2.06</v>
      </c>
      <c r="K14" s="0" t="n">
        <v>109</v>
      </c>
      <c r="L14" s="0" t="n">
        <v>83</v>
      </c>
      <c r="M14" s="0" t="n">
        <v>66</v>
      </c>
      <c r="N14" s="0" t="n">
        <v>54</v>
      </c>
      <c r="O14" s="0" t="n">
        <v>85</v>
      </c>
      <c r="P14" s="0" t="n">
        <v>74</v>
      </c>
      <c r="Q14" s="0" t="n">
        <v>83</v>
      </c>
      <c r="R14" s="0" t="n">
        <v>54</v>
      </c>
      <c r="S14" s="0" t="n">
        <v>55</v>
      </c>
      <c r="T14" s="0" t="n">
        <v>78</v>
      </c>
      <c r="U14" s="0" t="n">
        <v>90</v>
      </c>
      <c r="V14" s="0" t="n">
        <v>86</v>
      </c>
      <c r="W14" s="0" t="n">
        <v>59</v>
      </c>
      <c r="X14" s="0" t="n">
        <v>84</v>
      </c>
      <c r="Y14" s="0" t="n">
        <v>87</v>
      </c>
      <c r="Z14" s="0" t="n">
        <v>57</v>
      </c>
      <c r="AA14" s="0" t="n">
        <v>83</v>
      </c>
      <c r="AB14" s="0" t="n">
        <v>82</v>
      </c>
      <c r="AC14" s="0" t="n">
        <v>62</v>
      </c>
      <c r="AD14" s="0" t="n">
        <v>64</v>
      </c>
      <c r="AE14" s="0" t="n">
        <v>9116</v>
      </c>
      <c r="AF14" s="0" t="n">
        <v>2004237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81</v>
      </c>
    </row>
    <row r="15" customFormat="false" ht="15" hidden="false" customHeight="false" outlineLevel="0" collapsed="false">
      <c r="A15" s="0" t="s">
        <v>458</v>
      </c>
      <c r="B15" s="0" t="s">
        <v>459</v>
      </c>
      <c r="C15" s="0" t="s">
        <v>42</v>
      </c>
      <c r="D15" s="0" t="s">
        <v>36</v>
      </c>
      <c r="E15" s="0" t="n">
        <v>8</v>
      </c>
      <c r="F15" s="0" t="n">
        <v>2006</v>
      </c>
      <c r="G15" s="0" t="n">
        <v>2</v>
      </c>
      <c r="H15" s="0" t="n">
        <v>6</v>
      </c>
      <c r="J15" s="0" t="n">
        <v>1.85</v>
      </c>
      <c r="K15" s="0" t="n">
        <v>75</v>
      </c>
      <c r="L15" s="0" t="n">
        <v>73</v>
      </c>
      <c r="M15" s="0" t="n">
        <v>76</v>
      </c>
      <c r="N15" s="0" t="n">
        <v>67</v>
      </c>
      <c r="O15" s="0" t="n">
        <v>60</v>
      </c>
      <c r="P15" s="0" t="n">
        <v>80</v>
      </c>
      <c r="Q15" s="0" t="n">
        <v>61</v>
      </c>
      <c r="R15" s="0" t="n">
        <v>79</v>
      </c>
      <c r="S15" s="0" t="n">
        <v>66</v>
      </c>
      <c r="T15" s="0" t="n">
        <v>53</v>
      </c>
      <c r="U15" s="0" t="n">
        <v>52</v>
      </c>
      <c r="V15" s="0" t="n">
        <v>52</v>
      </c>
      <c r="W15" s="0" t="n">
        <v>73</v>
      </c>
      <c r="X15" s="0" t="n">
        <v>51</v>
      </c>
      <c r="Y15" s="0" t="n">
        <v>56</v>
      </c>
      <c r="Z15" s="0" t="n">
        <v>89</v>
      </c>
      <c r="AA15" s="0" t="n">
        <v>78</v>
      </c>
      <c r="AB15" s="0" t="n">
        <v>72</v>
      </c>
      <c r="AC15" s="0" t="n">
        <v>66</v>
      </c>
      <c r="AD15" s="0" t="n">
        <v>66</v>
      </c>
      <c r="AE15" s="0" t="n">
        <v>9062</v>
      </c>
      <c r="AF15" s="0" t="n">
        <v>2003945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72</v>
      </c>
    </row>
    <row r="16" customFormat="false" ht="15" hidden="false" customHeight="false" outlineLevel="0" collapsed="false">
      <c r="A16" s="0" t="s">
        <v>460</v>
      </c>
      <c r="B16" s="0" t="s">
        <v>461</v>
      </c>
      <c r="C16" s="0" t="s">
        <v>35</v>
      </c>
      <c r="D16" s="0" t="s">
        <v>36</v>
      </c>
      <c r="E16" s="0" t="n">
        <v>4</v>
      </c>
      <c r="F16" s="0" t="n">
        <v>2010</v>
      </c>
      <c r="G16" s="0" t="n">
        <v>1</v>
      </c>
      <c r="H16" s="0" t="n">
        <v>23</v>
      </c>
      <c r="J16" s="0" t="n">
        <v>1.86</v>
      </c>
      <c r="K16" s="0" t="n">
        <v>72</v>
      </c>
      <c r="L16" s="0" t="n">
        <v>70</v>
      </c>
      <c r="M16" s="0" t="n">
        <v>75</v>
      </c>
      <c r="N16" s="0" t="n">
        <v>70</v>
      </c>
      <c r="O16" s="0" t="n">
        <v>80</v>
      </c>
      <c r="P16" s="0" t="n">
        <v>81</v>
      </c>
      <c r="Q16" s="0" t="n">
        <v>57</v>
      </c>
      <c r="R16" s="0" t="n">
        <v>86</v>
      </c>
      <c r="S16" s="0" t="n">
        <v>80</v>
      </c>
      <c r="T16" s="0" t="n">
        <v>50</v>
      </c>
      <c r="U16" s="0" t="n">
        <v>50</v>
      </c>
      <c r="V16" s="0" t="n">
        <v>50</v>
      </c>
      <c r="W16" s="0" t="n">
        <v>82</v>
      </c>
      <c r="X16" s="0" t="n">
        <v>50</v>
      </c>
      <c r="Y16" s="0" t="n">
        <v>50</v>
      </c>
      <c r="Z16" s="0" t="n">
        <v>92</v>
      </c>
      <c r="AA16" s="0" t="n">
        <v>77</v>
      </c>
      <c r="AB16" s="0" t="n">
        <v>72</v>
      </c>
      <c r="AC16" s="0" t="n">
        <v>65</v>
      </c>
      <c r="AD16" s="0" t="n">
        <v>65</v>
      </c>
      <c r="AE16" s="0" t="n">
        <v>9115</v>
      </c>
      <c r="AF16" s="0" t="n">
        <v>2004234</v>
      </c>
      <c r="AG16" s="0" t="n">
        <f aca="false">IF(ISNA(MATCH($C16,_Overall_Model!$A$2:$A$6,0)),"",ROUND(SUMPRODUCT(L16:AD16,INDEX(_Overall_Model!$B$2:$T$6,MATCH($C16,_Overall_Model!$A$2:$A$6,0),0))+INDEX(_Overall_Model!$U$2:$U$6,MATCH($C16,_Overall_Model!$A$2:$A$6,0))+INDEX(_Overall_Model!$V$2:$V$6,MATCH($C16,_Overall_Model!$A$2:$A$6,0))*IF(Q16&gt;=75,99,IF(Q16&gt;=60,50,0))+INDEX(_Overall_Model!$W$2:$W$6,MATCH($C16,_Overall_Model!$A$2:$A$6,0))*J16+INDEX(_Overall_Model!$X$2:$X$6,MATCH($C16,_Overall_Model!$A$2:$A$6,0))*K16,0))</f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3" min="33" style="0" width="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</row>
    <row r="2" customFormat="false" ht="15" hidden="false" customHeight="false" outlineLevel="0" collapsed="false">
      <c r="A2" s="0" t="s">
        <v>462</v>
      </c>
      <c r="B2" s="0" t="s">
        <v>463</v>
      </c>
      <c r="C2" s="0" t="s">
        <v>42</v>
      </c>
      <c r="D2" s="0" t="s">
        <v>36</v>
      </c>
      <c r="E2" s="0" t="n">
        <v>24</v>
      </c>
      <c r="F2" s="0" t="n">
        <v>2001</v>
      </c>
      <c r="G2" s="0" t="n">
        <v>1</v>
      </c>
      <c r="H2" s="0" t="n">
        <v>26</v>
      </c>
      <c r="J2" s="0" t="n">
        <v>1.93</v>
      </c>
      <c r="K2" s="0" t="n">
        <v>82</v>
      </c>
      <c r="L2" s="0" t="n">
        <v>90</v>
      </c>
      <c r="M2" s="0" t="n">
        <v>93</v>
      </c>
      <c r="N2" s="0" t="n">
        <v>99</v>
      </c>
      <c r="O2" s="0" t="n">
        <v>97</v>
      </c>
      <c r="P2" s="0" t="n">
        <v>94</v>
      </c>
      <c r="Q2" s="0" t="n">
        <v>75</v>
      </c>
      <c r="R2" s="0" t="n">
        <v>87</v>
      </c>
      <c r="S2" s="0" t="n">
        <v>79</v>
      </c>
      <c r="T2" s="0" t="n">
        <v>68</v>
      </c>
      <c r="U2" s="0" t="n">
        <v>67</v>
      </c>
      <c r="V2" s="0" t="n">
        <v>67</v>
      </c>
      <c r="W2" s="0" t="n">
        <v>84</v>
      </c>
      <c r="X2" s="0" t="n">
        <v>62</v>
      </c>
      <c r="Y2" s="0" t="n">
        <v>69</v>
      </c>
      <c r="Z2" s="0" t="n">
        <v>94</v>
      </c>
      <c r="AA2" s="0" t="n">
        <v>89</v>
      </c>
      <c r="AB2" s="0" t="n">
        <v>83</v>
      </c>
      <c r="AC2" s="0" t="n">
        <v>82</v>
      </c>
      <c r="AD2" s="0" t="n">
        <v>86</v>
      </c>
      <c r="AE2" s="0" t="n">
        <v>9176</v>
      </c>
      <c r="AF2" s="0" t="n">
        <v>2004916</v>
      </c>
      <c r="AG2" s="0" t="n">
        <f aca="false">IF(ISNA(MATCH($C2,_Overall_Model!$A$2:$A$6,0)),"",ROUND(SUMPRODUCT(L2:AD2,INDEX(_Overall_Model!$B$2:$T$6,MATCH($C2,_Overall_Model!$A$2:$A$6,0),0))+INDEX(_Overall_Model!$U$2:$U$6,MATCH($C2,_Overall_Model!$A$2:$A$6,0))+INDEX(_Overall_Model!$V$2:$V$6,MATCH($C2,_Overall_Model!$A$2:$A$6,0))*IF(Q2&gt;=75,99,IF(Q2&gt;=60,50,0))+INDEX(_Overall_Model!$W$2:$W$6,MATCH($C2,_Overall_Model!$A$2:$A$6,0))*J2+INDEX(_Overall_Model!$X$2:$X$6,MATCH($C2,_Overall_Model!$A$2:$A$6,0))*K2,0))</f>
        <v>92</v>
      </c>
    </row>
    <row r="3" customFormat="false" ht="15" hidden="false" customHeight="false" outlineLevel="0" collapsed="false">
      <c r="A3" s="0" t="s">
        <v>282</v>
      </c>
      <c r="B3" s="0" t="s">
        <v>464</v>
      </c>
      <c r="C3" s="0" t="s">
        <v>35</v>
      </c>
      <c r="D3" s="0" t="s">
        <v>36</v>
      </c>
      <c r="E3" s="0" t="n">
        <v>4</v>
      </c>
      <c r="F3" s="0" t="n">
        <v>1994</v>
      </c>
      <c r="G3" s="0" t="n">
        <v>4</v>
      </c>
      <c r="H3" s="0" t="n">
        <v>13</v>
      </c>
      <c r="J3" s="0" t="n">
        <v>1.88</v>
      </c>
      <c r="K3" s="0" t="n">
        <v>83</v>
      </c>
      <c r="L3" s="0" t="n">
        <v>82</v>
      </c>
      <c r="M3" s="0" t="n">
        <v>87</v>
      </c>
      <c r="N3" s="0" t="n">
        <v>89</v>
      </c>
      <c r="O3" s="0" t="n">
        <v>95</v>
      </c>
      <c r="P3" s="0" t="n">
        <v>93</v>
      </c>
      <c r="Q3" s="0" t="n">
        <v>66</v>
      </c>
      <c r="R3" s="0" t="n">
        <v>99</v>
      </c>
      <c r="S3" s="0" t="n">
        <v>99</v>
      </c>
      <c r="T3" s="0" t="n">
        <v>61</v>
      </c>
      <c r="U3" s="0" t="n">
        <v>56</v>
      </c>
      <c r="V3" s="0" t="n">
        <v>56</v>
      </c>
      <c r="W3" s="0" t="n">
        <v>99</v>
      </c>
      <c r="X3" s="0" t="n">
        <v>60</v>
      </c>
      <c r="Y3" s="0" t="n">
        <v>62</v>
      </c>
      <c r="Z3" s="0" t="n">
        <v>93</v>
      </c>
      <c r="AA3" s="0" t="n">
        <v>84</v>
      </c>
      <c r="AB3" s="0" t="n">
        <v>82</v>
      </c>
      <c r="AC3" s="0" t="n">
        <v>85</v>
      </c>
      <c r="AD3" s="0" t="n">
        <v>86</v>
      </c>
      <c r="AE3" s="0" t="n">
        <v>5006</v>
      </c>
      <c r="AF3" s="0" t="n">
        <v>5119</v>
      </c>
      <c r="AG3" s="0" t="n">
        <f aca="false">IF(ISNA(MATCH($C3,_Overall_Model!$A$2:$A$6,0)),"",ROUND(SUMPRODUCT(L3:AD3,INDEX(_Overall_Model!$B$2:$T$6,MATCH($C3,_Overall_Model!$A$2:$A$6,0),0))+INDEX(_Overall_Model!$U$2:$U$6,MATCH($C3,_Overall_Model!$A$2:$A$6,0))+INDEX(_Overall_Model!$V$2:$V$6,MATCH($C3,_Overall_Model!$A$2:$A$6,0))*IF(Q3&gt;=75,99,IF(Q3&gt;=60,50,0))+INDEX(_Overall_Model!$W$2:$W$6,MATCH($C3,_Overall_Model!$A$2:$A$6,0))*J3+INDEX(_Overall_Model!$X$2:$X$6,MATCH($C3,_Overall_Model!$A$2:$A$6,0))*K3,0))</f>
        <v>94</v>
      </c>
    </row>
    <row r="4" customFormat="false" ht="15" hidden="false" customHeight="false" outlineLevel="0" collapsed="false">
      <c r="A4" s="0" t="s">
        <v>465</v>
      </c>
      <c r="B4" s="0" t="s">
        <v>466</v>
      </c>
      <c r="C4" s="0" t="s">
        <v>39</v>
      </c>
      <c r="D4" s="0" t="s">
        <v>36</v>
      </c>
      <c r="E4" s="0" t="n">
        <v>15</v>
      </c>
      <c r="F4" s="0" t="n">
        <v>2001</v>
      </c>
      <c r="G4" s="0" t="n">
        <v>2</v>
      </c>
      <c r="H4" s="0" t="n">
        <v>11</v>
      </c>
      <c r="J4" s="0" t="n">
        <v>2.03</v>
      </c>
      <c r="K4" s="0" t="n">
        <v>93</v>
      </c>
      <c r="L4" s="0" t="n">
        <v>91</v>
      </c>
      <c r="M4" s="0" t="n">
        <v>77</v>
      </c>
      <c r="N4" s="0" t="n">
        <v>85</v>
      </c>
      <c r="O4" s="0" t="n">
        <v>69</v>
      </c>
      <c r="P4" s="0" t="n">
        <v>88</v>
      </c>
      <c r="Q4" s="0" t="n">
        <v>81</v>
      </c>
      <c r="R4" s="0" t="n">
        <v>66</v>
      </c>
      <c r="S4" s="0" t="n">
        <v>68</v>
      </c>
      <c r="T4" s="0" t="n">
        <v>82</v>
      </c>
      <c r="U4" s="0" t="n">
        <v>82</v>
      </c>
      <c r="V4" s="0" t="n">
        <v>78</v>
      </c>
      <c r="W4" s="0" t="n">
        <v>68</v>
      </c>
      <c r="X4" s="0" t="n">
        <v>89</v>
      </c>
      <c r="Y4" s="0" t="n">
        <v>89</v>
      </c>
      <c r="Z4" s="0" t="n">
        <v>70</v>
      </c>
      <c r="AA4" s="0" t="n">
        <v>85</v>
      </c>
      <c r="AB4" s="0" t="n">
        <v>88</v>
      </c>
      <c r="AC4" s="0" t="n">
        <v>75</v>
      </c>
      <c r="AD4" s="0" t="n">
        <v>76</v>
      </c>
      <c r="AE4" s="0" t="n">
        <v>9177</v>
      </c>
      <c r="AF4" s="0" t="n">
        <v>2004917</v>
      </c>
      <c r="AG4" s="0" t="n">
        <f aca="false">IF(ISNA(MATCH($C4,_Overall_Model!$A$2:$A$6,0)),"",ROUND(SUMPRODUCT(L4:AD4,INDEX(_Overall_Model!$B$2:$T$6,MATCH($C4,_Overall_Model!$A$2:$A$6,0),0))+INDEX(_Overall_Model!$U$2:$U$6,MATCH($C4,_Overall_Model!$A$2:$A$6,0))+INDEX(_Overall_Model!$V$2:$V$6,MATCH($C4,_Overall_Model!$A$2:$A$6,0))*IF(Q4&gt;=75,99,IF(Q4&gt;=60,50,0))+INDEX(_Overall_Model!$W$2:$W$6,MATCH($C4,_Overall_Model!$A$2:$A$6,0))*J4+INDEX(_Overall_Model!$X$2:$X$6,MATCH($C4,_Overall_Model!$A$2:$A$6,0))*K4,0))</f>
        <v>84</v>
      </c>
    </row>
    <row r="5" customFormat="false" ht="15" hidden="false" customHeight="false" outlineLevel="0" collapsed="false">
      <c r="A5" s="0" t="s">
        <v>458</v>
      </c>
      <c r="B5" s="0" t="s">
        <v>467</v>
      </c>
      <c r="C5" s="0" t="s">
        <v>39</v>
      </c>
      <c r="D5" s="0" t="s">
        <v>36</v>
      </c>
      <c r="E5" s="0" t="n">
        <v>10</v>
      </c>
      <c r="F5" s="0" t="n">
        <v>2000</v>
      </c>
      <c r="G5" s="0" t="n">
        <v>5</v>
      </c>
      <c r="H5" s="0" t="n">
        <v>10</v>
      </c>
      <c r="J5" s="0" t="n">
        <v>2.06</v>
      </c>
      <c r="K5" s="0" t="n">
        <v>102</v>
      </c>
      <c r="L5" s="0" t="n">
        <v>83</v>
      </c>
      <c r="M5" s="0" t="n">
        <v>75</v>
      </c>
      <c r="N5" s="0" t="n">
        <v>78</v>
      </c>
      <c r="O5" s="0" t="n">
        <v>69</v>
      </c>
      <c r="P5" s="0" t="n">
        <v>80</v>
      </c>
      <c r="Q5" s="0" t="n">
        <v>80</v>
      </c>
      <c r="R5" s="0" t="n">
        <v>66</v>
      </c>
      <c r="S5" s="0" t="n">
        <v>68</v>
      </c>
      <c r="T5" s="0" t="n">
        <v>79</v>
      </c>
      <c r="U5" s="0" t="n">
        <v>86</v>
      </c>
      <c r="V5" s="0" t="n">
        <v>81</v>
      </c>
      <c r="W5" s="0" t="n">
        <v>68</v>
      </c>
      <c r="X5" s="0" t="n">
        <v>86</v>
      </c>
      <c r="Y5" s="0" t="n">
        <v>73</v>
      </c>
      <c r="Z5" s="0" t="n">
        <v>70</v>
      </c>
      <c r="AA5" s="0" t="n">
        <v>85</v>
      </c>
      <c r="AB5" s="0" t="n">
        <v>85</v>
      </c>
      <c r="AC5" s="0" t="n">
        <v>74</v>
      </c>
      <c r="AD5" s="0" t="n">
        <v>75</v>
      </c>
      <c r="AE5" s="0" t="n">
        <v>9173</v>
      </c>
      <c r="AF5" s="0" t="n">
        <v>2004913</v>
      </c>
      <c r="AG5" s="0" t="n">
        <f aca="false">IF(ISNA(MATCH($C5,_Overall_Model!$A$2:$A$6,0)),"",ROUND(SUMPRODUCT(L5:AD5,INDEX(_Overall_Model!$B$2:$T$6,MATCH($C5,_Overall_Model!$A$2:$A$6,0),0))+INDEX(_Overall_Model!$U$2:$U$6,MATCH($C5,_Overall_Model!$A$2:$A$6,0))+INDEX(_Overall_Model!$V$2:$V$6,MATCH($C5,_Overall_Model!$A$2:$A$6,0))*IF(Q5&gt;=75,99,IF(Q5&gt;=60,50,0))+INDEX(_Overall_Model!$W$2:$W$6,MATCH($C5,_Overall_Model!$A$2:$A$6,0))*J5+INDEX(_Overall_Model!$X$2:$X$6,MATCH($C5,_Overall_Model!$A$2:$A$6,0))*K5,0))</f>
        <v>80</v>
      </c>
    </row>
    <row r="6" customFormat="false" ht="15" hidden="false" customHeight="false" outlineLevel="0" collapsed="false">
      <c r="A6" s="0" t="s">
        <v>468</v>
      </c>
      <c r="B6" s="0" t="s">
        <v>469</v>
      </c>
      <c r="C6" s="0" t="s">
        <v>39</v>
      </c>
      <c r="D6" s="0" t="s">
        <v>36</v>
      </c>
      <c r="E6" s="0" t="n">
        <v>7</v>
      </c>
      <c r="F6" s="0" t="n">
        <v>1999</v>
      </c>
      <c r="G6" s="0" t="n">
        <v>6</v>
      </c>
      <c r="H6" s="0" t="n">
        <v>5</v>
      </c>
      <c r="J6" s="0" t="n">
        <v>2.03</v>
      </c>
      <c r="K6" s="0" t="n">
        <v>100</v>
      </c>
      <c r="L6" s="0" t="n">
        <v>83</v>
      </c>
      <c r="M6" s="0" t="n">
        <v>75</v>
      </c>
      <c r="N6" s="0" t="n">
        <v>71</v>
      </c>
      <c r="O6" s="0" t="n">
        <v>60</v>
      </c>
      <c r="P6" s="0" t="n">
        <v>80</v>
      </c>
      <c r="Q6" s="0" t="n">
        <v>80</v>
      </c>
      <c r="R6" s="0" t="n">
        <v>66</v>
      </c>
      <c r="S6" s="0" t="n">
        <v>68</v>
      </c>
      <c r="T6" s="0" t="n">
        <v>79</v>
      </c>
      <c r="U6" s="0" t="n">
        <v>84</v>
      </c>
      <c r="V6" s="0" t="n">
        <v>78</v>
      </c>
      <c r="W6" s="0" t="n">
        <v>68</v>
      </c>
      <c r="X6" s="0" t="n">
        <v>89</v>
      </c>
      <c r="Y6" s="0" t="n">
        <v>69</v>
      </c>
      <c r="Z6" s="0" t="n">
        <v>70</v>
      </c>
      <c r="AA6" s="0" t="n">
        <v>85</v>
      </c>
      <c r="AB6" s="0" t="n">
        <v>88</v>
      </c>
      <c r="AC6" s="0" t="n">
        <v>74</v>
      </c>
      <c r="AD6" s="0" t="n">
        <v>75</v>
      </c>
      <c r="AE6" s="0" t="n">
        <v>9420</v>
      </c>
      <c r="AF6" s="0" t="n">
        <v>2003097</v>
      </c>
      <c r="AG6" s="0" t="n">
        <f aca="false">IF(ISNA(MATCH($C6,_Overall_Model!$A$2:$A$6,0)),"",ROUND(SUMPRODUCT(L6:AD6,INDEX(_Overall_Model!$B$2:$T$6,MATCH($C6,_Overall_Model!$A$2:$A$6,0),0))+INDEX(_Overall_Model!$U$2:$U$6,MATCH($C6,_Overall_Model!$A$2:$A$6,0))+INDEX(_Overall_Model!$V$2:$V$6,MATCH($C6,_Overall_Model!$A$2:$A$6,0))*IF(Q6&gt;=75,99,IF(Q6&gt;=60,50,0))+INDEX(_Overall_Model!$W$2:$W$6,MATCH($C6,_Overall_Model!$A$2:$A$6,0))*J6+INDEX(_Overall_Model!$X$2:$X$6,MATCH($C6,_Overall_Model!$A$2:$A$6,0))*K6,0))</f>
        <v>79</v>
      </c>
    </row>
    <row r="7" customFormat="false" ht="15" hidden="false" customHeight="false" outlineLevel="0" collapsed="false">
      <c r="A7" s="0" t="s">
        <v>470</v>
      </c>
      <c r="B7" s="0" t="s">
        <v>471</v>
      </c>
      <c r="C7" s="0" t="s">
        <v>45</v>
      </c>
      <c r="D7" s="0" t="s">
        <v>36</v>
      </c>
      <c r="E7" s="0" t="n">
        <v>3</v>
      </c>
      <c r="F7" s="0" t="n">
        <v>2001</v>
      </c>
      <c r="G7" s="0" t="n">
        <v>11</v>
      </c>
      <c r="H7" s="0" t="n">
        <v>22</v>
      </c>
      <c r="J7" s="0" t="n">
        <v>1.9</v>
      </c>
      <c r="K7" s="0" t="n">
        <v>85</v>
      </c>
      <c r="L7" s="0" t="n">
        <v>81</v>
      </c>
      <c r="M7" s="0" t="n">
        <v>81</v>
      </c>
      <c r="N7" s="0" t="n">
        <v>67</v>
      </c>
      <c r="O7" s="0" t="n">
        <v>60</v>
      </c>
      <c r="P7" s="0" t="n">
        <v>88</v>
      </c>
      <c r="Q7" s="0" t="n">
        <v>72</v>
      </c>
      <c r="R7" s="0" t="n">
        <v>80</v>
      </c>
      <c r="S7" s="0" t="n">
        <v>72</v>
      </c>
      <c r="T7" s="0" t="n">
        <v>63</v>
      </c>
      <c r="U7" s="0" t="n">
        <v>69</v>
      </c>
      <c r="V7" s="0" t="n">
        <v>64</v>
      </c>
      <c r="W7" s="0" t="n">
        <v>75</v>
      </c>
      <c r="X7" s="0" t="n">
        <v>70</v>
      </c>
      <c r="Y7" s="0" t="n">
        <v>70</v>
      </c>
      <c r="Z7" s="0" t="n">
        <v>85</v>
      </c>
      <c r="AA7" s="0" t="n">
        <v>84</v>
      </c>
      <c r="AB7" s="0" t="n">
        <v>80</v>
      </c>
      <c r="AC7" s="0" t="n">
        <v>77</v>
      </c>
      <c r="AD7" s="0" t="n">
        <v>79</v>
      </c>
      <c r="AE7" s="0" t="n">
        <v>9172</v>
      </c>
      <c r="AF7" s="0" t="n">
        <v>2004907</v>
      </c>
      <c r="AG7" s="0" t="n">
        <f aca="false">IF(ISNA(MATCH($C7,_Overall_Model!$A$2:$A$6,0)),"",ROUND(SUMPRODUCT(L7:AD7,INDEX(_Overall_Model!$B$2:$T$6,MATCH($C7,_Overall_Model!$A$2:$A$6,0),0))+INDEX(_Overall_Model!$U$2:$U$6,MATCH($C7,_Overall_Model!$A$2:$A$6,0))+INDEX(_Overall_Model!$V$2:$V$6,MATCH($C7,_Overall_Model!$A$2:$A$6,0))*IF(Q7&gt;=75,99,IF(Q7&gt;=60,50,0))+INDEX(_Overall_Model!$W$2:$W$6,MATCH($C7,_Overall_Model!$A$2:$A$6,0))*J7+INDEX(_Overall_Model!$X$2:$X$6,MATCH($C7,_Overall_Model!$A$2:$A$6,0))*K7,0))</f>
        <v>79</v>
      </c>
    </row>
    <row r="8" customFormat="false" ht="15" hidden="false" customHeight="false" outlineLevel="0" collapsed="false">
      <c r="A8" s="0" t="s">
        <v>380</v>
      </c>
      <c r="B8" s="0" t="s">
        <v>472</v>
      </c>
      <c r="C8" s="0" t="s">
        <v>42</v>
      </c>
      <c r="D8" s="0" t="s">
        <v>36</v>
      </c>
      <c r="E8" s="0" t="n">
        <v>5</v>
      </c>
      <c r="F8" s="0" t="n">
        <v>2003</v>
      </c>
      <c r="G8" s="0" t="n">
        <v>10</v>
      </c>
      <c r="H8" s="0" t="n">
        <v>29</v>
      </c>
      <c r="J8" s="0" t="n">
        <v>2</v>
      </c>
      <c r="K8" s="0" t="n">
        <v>87</v>
      </c>
      <c r="L8" s="0" t="n">
        <v>79</v>
      </c>
      <c r="M8" s="0" t="n">
        <v>82</v>
      </c>
      <c r="N8" s="0" t="n">
        <v>91</v>
      </c>
      <c r="O8" s="0" t="n">
        <v>89</v>
      </c>
      <c r="P8" s="0" t="n">
        <v>83</v>
      </c>
      <c r="Q8" s="0" t="n">
        <v>67</v>
      </c>
      <c r="R8" s="0" t="n">
        <v>81</v>
      </c>
      <c r="S8" s="0" t="n">
        <v>74</v>
      </c>
      <c r="T8" s="0" t="n">
        <v>59</v>
      </c>
      <c r="U8" s="0" t="n">
        <v>62</v>
      </c>
      <c r="V8" s="0" t="n">
        <v>62</v>
      </c>
      <c r="W8" s="0" t="n">
        <v>79</v>
      </c>
      <c r="X8" s="0" t="n">
        <v>60</v>
      </c>
      <c r="Y8" s="0" t="n">
        <v>62</v>
      </c>
      <c r="Z8" s="0" t="n">
        <v>85</v>
      </c>
      <c r="AA8" s="0" t="n">
        <v>84</v>
      </c>
      <c r="AB8" s="0" t="n">
        <v>81</v>
      </c>
      <c r="AC8" s="0" t="n">
        <v>76</v>
      </c>
      <c r="AD8" s="0" t="n">
        <v>78</v>
      </c>
      <c r="AE8" s="0" t="n">
        <v>9174</v>
      </c>
      <c r="AF8" s="0" t="n">
        <v>2004914</v>
      </c>
      <c r="AG8" s="0" t="n">
        <f aca="false">IF(ISNA(MATCH($C8,_Overall_Model!$A$2:$A$6,0)),"",ROUND(SUMPRODUCT(L8:AD8,INDEX(_Overall_Model!$B$2:$T$6,MATCH($C8,_Overall_Model!$A$2:$A$6,0),0))+INDEX(_Overall_Model!$U$2:$U$6,MATCH($C8,_Overall_Model!$A$2:$A$6,0))+INDEX(_Overall_Model!$V$2:$V$6,MATCH($C8,_Overall_Model!$A$2:$A$6,0))*IF(Q8&gt;=75,99,IF(Q8&gt;=60,50,0))+INDEX(_Overall_Model!$W$2:$W$6,MATCH($C8,_Overall_Model!$A$2:$A$6,0))*J8+INDEX(_Overall_Model!$X$2:$X$6,MATCH($C8,_Overall_Model!$A$2:$A$6,0))*K8,0))</f>
        <v>82</v>
      </c>
    </row>
    <row r="9" customFormat="false" ht="15" hidden="false" customHeight="false" outlineLevel="0" collapsed="false">
      <c r="A9" s="0" t="s">
        <v>370</v>
      </c>
      <c r="B9" s="0" t="s">
        <v>473</v>
      </c>
      <c r="C9" s="0" t="s">
        <v>52</v>
      </c>
      <c r="D9" s="0" t="s">
        <v>36</v>
      </c>
      <c r="E9" s="0" t="n">
        <v>8</v>
      </c>
      <c r="F9" s="0" t="n">
        <v>1990</v>
      </c>
      <c r="G9" s="0" t="n">
        <v>11</v>
      </c>
      <c r="H9" s="0" t="n">
        <v>9</v>
      </c>
      <c r="J9" s="0" t="n">
        <v>2.02</v>
      </c>
      <c r="K9" s="0" t="n">
        <v>106</v>
      </c>
      <c r="L9" s="0" t="n">
        <v>88</v>
      </c>
      <c r="M9" s="0" t="n">
        <v>68</v>
      </c>
      <c r="N9" s="0" t="n">
        <v>56</v>
      </c>
      <c r="O9" s="0" t="n">
        <v>60</v>
      </c>
      <c r="P9" s="0" t="n">
        <v>79</v>
      </c>
      <c r="Q9" s="0" t="n">
        <v>83</v>
      </c>
      <c r="R9" s="0" t="n">
        <v>56</v>
      </c>
      <c r="S9" s="0" t="n">
        <v>62</v>
      </c>
      <c r="T9" s="0" t="n">
        <v>81</v>
      </c>
      <c r="U9" s="0" t="n">
        <v>90</v>
      </c>
      <c r="V9" s="0" t="n">
        <v>85</v>
      </c>
      <c r="W9" s="0" t="n">
        <v>61</v>
      </c>
      <c r="X9" s="0" t="n">
        <v>89</v>
      </c>
      <c r="Y9" s="0" t="n">
        <v>70</v>
      </c>
      <c r="Z9" s="0" t="n">
        <v>50</v>
      </c>
      <c r="AA9" s="0" t="n">
        <v>74</v>
      </c>
      <c r="AB9" s="0" t="n">
        <v>87</v>
      </c>
      <c r="AC9" s="0" t="n">
        <v>74</v>
      </c>
      <c r="AD9" s="0" t="n">
        <v>80</v>
      </c>
      <c r="AE9" s="0" t="n">
        <v>5005</v>
      </c>
      <c r="AF9" s="0" t="n">
        <v>5117</v>
      </c>
      <c r="AG9" s="0" t="n">
        <f aca="false">IF(ISNA(MATCH($C9,_Overall_Model!$A$2:$A$6,0)),"",ROUND(SUMPRODUCT(L9:AD9,INDEX(_Overall_Model!$B$2:$T$6,MATCH($C9,_Overall_Model!$A$2:$A$6,0),0))+INDEX(_Overall_Model!$U$2:$U$6,MATCH($C9,_Overall_Model!$A$2:$A$6,0))+INDEX(_Overall_Model!$V$2:$V$6,MATCH($C9,_Overall_Model!$A$2:$A$6,0))*IF(Q9&gt;=75,99,IF(Q9&gt;=60,50,0))+INDEX(_Overall_Model!$W$2:$W$6,MATCH($C9,_Overall_Model!$A$2:$A$6,0))*J9+INDEX(_Overall_Model!$X$2:$X$6,MATCH($C9,_Overall_Model!$A$2:$A$6,0))*K9,0))</f>
        <v>80</v>
      </c>
    </row>
    <row r="10" customFormat="false" ht="15" hidden="false" customHeight="false" outlineLevel="0" collapsed="false">
      <c r="A10" s="0" t="s">
        <v>474</v>
      </c>
      <c r="B10" s="0" t="s">
        <v>475</v>
      </c>
      <c r="C10" s="0" t="s">
        <v>42</v>
      </c>
      <c r="D10" s="0" t="s">
        <v>36</v>
      </c>
      <c r="E10" s="0" t="n">
        <v>23</v>
      </c>
      <c r="F10" s="0" t="n">
        <v>2004</v>
      </c>
      <c r="G10" s="0" t="n">
        <v>10</v>
      </c>
      <c r="H10" s="0" t="n">
        <v>11</v>
      </c>
      <c r="J10" s="0" t="n">
        <v>1.93</v>
      </c>
      <c r="K10" s="0" t="n">
        <v>84</v>
      </c>
      <c r="L10" s="0" t="n">
        <v>77</v>
      </c>
      <c r="M10" s="0" t="n">
        <v>80</v>
      </c>
      <c r="N10" s="0" t="n">
        <v>60</v>
      </c>
      <c r="O10" s="0" t="n">
        <v>90</v>
      </c>
      <c r="P10" s="0" t="n">
        <v>81</v>
      </c>
      <c r="Q10" s="0" t="n">
        <v>65</v>
      </c>
      <c r="R10" s="0" t="n">
        <v>81</v>
      </c>
      <c r="S10" s="0" t="n">
        <v>72</v>
      </c>
      <c r="T10" s="0" t="n">
        <v>57</v>
      </c>
      <c r="U10" s="0" t="n">
        <v>60</v>
      </c>
      <c r="V10" s="0" t="n">
        <v>60</v>
      </c>
      <c r="W10" s="0" t="n">
        <v>77</v>
      </c>
      <c r="X10" s="0" t="n">
        <v>55</v>
      </c>
      <c r="Y10" s="0" t="n">
        <v>60</v>
      </c>
      <c r="Z10" s="0" t="n">
        <v>87</v>
      </c>
      <c r="AA10" s="0" t="n">
        <v>82</v>
      </c>
      <c r="AB10" s="0" t="n">
        <v>76</v>
      </c>
      <c r="AC10" s="0" t="n">
        <v>74</v>
      </c>
      <c r="AD10" s="0" t="n">
        <v>76</v>
      </c>
      <c r="AE10" s="0" t="n">
        <v>9178</v>
      </c>
      <c r="AF10" s="0" t="n">
        <v>2004918</v>
      </c>
      <c r="AG10" s="0" t="n">
        <f aca="false">IF(ISNA(MATCH($C10,_Overall_Model!$A$2:$A$6,0)),"",ROUND(SUMPRODUCT(L10:AD10,INDEX(_Overall_Model!$B$2:$T$6,MATCH($C10,_Overall_Model!$A$2:$A$6,0),0))+INDEX(_Overall_Model!$U$2:$U$6,MATCH($C10,_Overall_Model!$A$2:$A$6,0))+INDEX(_Overall_Model!$V$2:$V$6,MATCH($C10,_Overall_Model!$A$2:$A$6,0))*IF(Q10&gt;=75,99,IF(Q10&gt;=60,50,0))+INDEX(_Overall_Model!$W$2:$W$6,MATCH($C10,_Overall_Model!$A$2:$A$6,0))*J10+INDEX(_Overall_Model!$X$2:$X$6,MATCH($C10,_Overall_Model!$A$2:$A$6,0))*K10,0))</f>
        <v>77</v>
      </c>
    </row>
    <row r="11" customFormat="false" ht="15" hidden="false" customHeight="false" outlineLevel="0" collapsed="false">
      <c r="A11" s="0" t="s">
        <v>476</v>
      </c>
      <c r="B11" s="0" t="s">
        <v>477</v>
      </c>
      <c r="C11" s="0" t="s">
        <v>39</v>
      </c>
      <c r="D11" s="0" t="s">
        <v>36</v>
      </c>
      <c r="E11" s="0" t="n">
        <v>16</v>
      </c>
      <c r="F11" s="0" t="n">
        <v>2007</v>
      </c>
      <c r="G11" s="0" t="n">
        <v>4</v>
      </c>
      <c r="H11" s="0" t="n">
        <v>30</v>
      </c>
      <c r="J11" s="0" t="n">
        <v>2</v>
      </c>
      <c r="K11" s="0" t="n">
        <v>93</v>
      </c>
      <c r="L11" s="0" t="n">
        <v>83</v>
      </c>
      <c r="M11" s="0" t="n">
        <v>72</v>
      </c>
      <c r="N11" s="0" t="n">
        <v>60</v>
      </c>
      <c r="O11" s="0" t="n">
        <v>60</v>
      </c>
      <c r="P11" s="0" t="n">
        <v>80</v>
      </c>
      <c r="Q11" s="0" t="n">
        <v>79</v>
      </c>
      <c r="R11" s="0" t="n">
        <v>63</v>
      </c>
      <c r="S11" s="0" t="n">
        <v>63</v>
      </c>
      <c r="T11" s="0" t="n">
        <v>77</v>
      </c>
      <c r="U11" s="0" t="n">
        <v>79</v>
      </c>
      <c r="V11" s="0" t="n">
        <v>75</v>
      </c>
      <c r="W11" s="0" t="n">
        <v>65</v>
      </c>
      <c r="X11" s="0" t="n">
        <v>83</v>
      </c>
      <c r="Y11" s="0" t="n">
        <v>81</v>
      </c>
      <c r="Z11" s="0" t="n">
        <v>71</v>
      </c>
      <c r="AA11" s="0" t="n">
        <v>82</v>
      </c>
      <c r="AB11" s="0" t="n">
        <v>82</v>
      </c>
      <c r="AC11" s="0" t="n">
        <v>66</v>
      </c>
      <c r="AD11" s="0" t="n">
        <v>66</v>
      </c>
      <c r="AE11" s="0" t="n">
        <v>9180</v>
      </c>
      <c r="AF11" s="0" t="n">
        <v>2004928</v>
      </c>
      <c r="AG11" s="0" t="n">
        <f aca="false">IF(ISNA(MATCH($C11,_Overall_Model!$A$2:$A$6,0)),"",ROUND(SUMPRODUCT(L11:AD11,INDEX(_Overall_Model!$B$2:$T$6,MATCH($C11,_Overall_Model!$A$2:$A$6,0),0))+INDEX(_Overall_Model!$U$2:$U$6,MATCH($C11,_Overall_Model!$A$2:$A$6,0))+INDEX(_Overall_Model!$V$2:$V$6,MATCH($C11,_Overall_Model!$A$2:$A$6,0))*IF(Q11&gt;=75,99,IF(Q11&gt;=60,50,0))+INDEX(_Overall_Model!$W$2:$W$6,MATCH($C11,_Overall_Model!$A$2:$A$6,0))*J11+INDEX(_Overall_Model!$X$2:$X$6,MATCH($C11,_Overall_Model!$A$2:$A$6,0))*K11,0))</f>
        <v>76</v>
      </c>
    </row>
    <row r="12" customFormat="false" ht="15" hidden="false" customHeight="false" outlineLevel="0" collapsed="false">
      <c r="A12" s="0" t="s">
        <v>478</v>
      </c>
      <c r="B12" s="0" t="s">
        <v>479</v>
      </c>
      <c r="C12" s="0" t="s">
        <v>35</v>
      </c>
      <c r="D12" s="0" t="s">
        <v>36</v>
      </c>
      <c r="E12" s="0" t="n">
        <v>21</v>
      </c>
      <c r="F12" s="0" t="n">
        <v>2005</v>
      </c>
      <c r="G12" s="0" t="n">
        <v>10</v>
      </c>
      <c r="H12" s="0" t="n">
        <v>10</v>
      </c>
      <c r="J12" s="0" t="n">
        <v>1.88</v>
      </c>
      <c r="K12" s="0" t="n">
        <v>82</v>
      </c>
      <c r="L12" s="0" t="n">
        <v>73</v>
      </c>
      <c r="M12" s="0" t="n">
        <v>78</v>
      </c>
      <c r="N12" s="0" t="n">
        <v>67</v>
      </c>
      <c r="O12" s="0" t="n">
        <v>88</v>
      </c>
      <c r="P12" s="0" t="n">
        <v>84</v>
      </c>
      <c r="Q12" s="0" t="n">
        <v>60</v>
      </c>
      <c r="R12" s="0" t="n">
        <v>89</v>
      </c>
      <c r="S12" s="0" t="n">
        <v>83</v>
      </c>
      <c r="T12" s="0" t="n">
        <v>53</v>
      </c>
      <c r="U12" s="0" t="n">
        <v>50</v>
      </c>
      <c r="V12" s="0" t="n">
        <v>50</v>
      </c>
      <c r="W12" s="0" t="n">
        <v>85</v>
      </c>
      <c r="X12" s="0" t="n">
        <v>53</v>
      </c>
      <c r="Y12" s="0" t="n">
        <v>53</v>
      </c>
      <c r="Z12" s="0" t="n">
        <v>93</v>
      </c>
      <c r="AA12" s="0" t="n">
        <v>80</v>
      </c>
      <c r="AB12" s="0" t="n">
        <v>75</v>
      </c>
      <c r="AC12" s="0" t="n">
        <v>68</v>
      </c>
      <c r="AD12" s="0" t="n">
        <v>68</v>
      </c>
      <c r="AE12" s="0" t="n">
        <v>9179</v>
      </c>
      <c r="AF12" s="0" t="n">
        <v>2004927</v>
      </c>
      <c r="AG12" s="0" t="n">
        <f aca="false">IF(ISNA(MATCH($C12,_Overall_Model!$A$2:$A$6,0)),"",ROUND(SUMPRODUCT(L12:AD12,INDEX(_Overall_Model!$B$2:$T$6,MATCH($C12,_Overall_Model!$A$2:$A$6,0),0))+INDEX(_Overall_Model!$U$2:$U$6,MATCH($C12,_Overall_Model!$A$2:$A$6,0))+INDEX(_Overall_Model!$V$2:$V$6,MATCH($C12,_Overall_Model!$A$2:$A$6,0))*IF(Q12&gt;=75,99,IF(Q12&gt;=60,50,0))+INDEX(_Overall_Model!$W$2:$W$6,MATCH($C12,_Overall_Model!$A$2:$A$6,0))*J12+INDEX(_Overall_Model!$X$2:$X$6,MATCH($C12,_Overall_Model!$A$2:$A$6,0))*K12,0))</f>
        <v>78</v>
      </c>
    </row>
    <row r="13" customFormat="false" ht="15" hidden="false" customHeight="false" outlineLevel="0" collapsed="false">
      <c r="A13" s="0" t="s">
        <v>480</v>
      </c>
      <c r="B13" s="0" t="s">
        <v>481</v>
      </c>
      <c r="C13" s="0" t="s">
        <v>35</v>
      </c>
      <c r="D13" s="0" t="s">
        <v>36</v>
      </c>
      <c r="E13" s="0" t="n">
        <v>42</v>
      </c>
      <c r="F13" s="0" t="n">
        <v>2005</v>
      </c>
      <c r="G13" s="0" t="n">
        <v>12</v>
      </c>
      <c r="H13" s="0" t="n">
        <v>7</v>
      </c>
      <c r="J13" s="0" t="n">
        <v>1.83</v>
      </c>
      <c r="K13" s="0" t="n">
        <v>83</v>
      </c>
      <c r="L13" s="0" t="n">
        <v>73</v>
      </c>
      <c r="M13" s="0" t="n">
        <v>78</v>
      </c>
      <c r="N13" s="0" t="n">
        <v>73</v>
      </c>
      <c r="O13" s="0" t="n">
        <v>88</v>
      </c>
      <c r="P13" s="0" t="n">
        <v>85</v>
      </c>
      <c r="Q13" s="0" t="n">
        <v>59</v>
      </c>
      <c r="R13" s="0" t="n">
        <v>90</v>
      </c>
      <c r="S13" s="0" t="n">
        <v>83</v>
      </c>
      <c r="T13" s="0" t="n">
        <v>53</v>
      </c>
      <c r="U13" s="0" t="n">
        <v>50</v>
      </c>
      <c r="V13" s="0" t="n">
        <v>50</v>
      </c>
      <c r="W13" s="0" t="n">
        <v>89</v>
      </c>
      <c r="X13" s="0" t="n">
        <v>53</v>
      </c>
      <c r="Y13" s="0" t="n">
        <v>53</v>
      </c>
      <c r="Z13" s="0" t="n">
        <v>95</v>
      </c>
      <c r="AA13" s="0" t="n">
        <v>80</v>
      </c>
      <c r="AB13" s="0" t="n">
        <v>75</v>
      </c>
      <c r="AC13" s="0" t="n">
        <v>68</v>
      </c>
      <c r="AD13" s="0" t="n">
        <v>68</v>
      </c>
      <c r="AE13" s="0" t="n">
        <v>9175</v>
      </c>
      <c r="AF13" s="0" t="n">
        <v>2004915</v>
      </c>
      <c r="AG13" s="0" t="n">
        <f aca="false">IF(ISNA(MATCH($C13,_Overall_Model!$A$2:$A$6,0)),"",ROUND(SUMPRODUCT(L13:AD13,INDEX(_Overall_Model!$B$2:$T$6,MATCH($C13,_Overall_Model!$A$2:$A$6,0),0))+INDEX(_Overall_Model!$U$2:$U$6,MATCH($C13,_Overall_Model!$A$2:$A$6,0))+INDEX(_Overall_Model!$V$2:$V$6,MATCH($C13,_Overall_Model!$A$2:$A$6,0))*IF(Q13&gt;=75,99,IF(Q13&gt;=60,50,0))+INDEX(_Overall_Model!$W$2:$W$6,MATCH($C13,_Overall_Model!$A$2:$A$6,0))*J13+INDEX(_Overall_Model!$X$2:$X$6,MATCH($C13,_Overall_Model!$A$2:$A$6,0))*K13,0))</f>
        <v>80</v>
      </c>
    </row>
    <row r="14" customFormat="false" ht="15" hidden="false" customHeight="false" outlineLevel="0" collapsed="false">
      <c r="A14" s="0" t="s">
        <v>482</v>
      </c>
      <c r="B14" s="0" t="s">
        <v>483</v>
      </c>
      <c r="C14" s="0" t="s">
        <v>42</v>
      </c>
      <c r="D14" s="0" t="s">
        <v>36</v>
      </c>
      <c r="E14" s="0" t="n">
        <v>13</v>
      </c>
      <c r="F14" s="0" t="n">
        <v>2009</v>
      </c>
      <c r="G14" s="0" t="n">
        <v>4</v>
      </c>
      <c r="H14" s="0" t="n">
        <v>28</v>
      </c>
      <c r="J14" s="0" t="n">
        <v>1.88</v>
      </c>
      <c r="K14" s="0" t="n">
        <v>70</v>
      </c>
      <c r="L14" s="0" t="n">
        <v>72</v>
      </c>
      <c r="M14" s="0" t="n">
        <v>75</v>
      </c>
      <c r="N14" s="0" t="n">
        <v>77</v>
      </c>
      <c r="O14" s="0" t="n">
        <v>60</v>
      </c>
      <c r="P14" s="0" t="n">
        <v>79</v>
      </c>
      <c r="Q14" s="0" t="n">
        <v>60</v>
      </c>
      <c r="R14" s="0" t="n">
        <v>78</v>
      </c>
      <c r="S14" s="0" t="n">
        <v>65</v>
      </c>
      <c r="T14" s="0" t="n">
        <v>52</v>
      </c>
      <c r="U14" s="0" t="n">
        <v>51</v>
      </c>
      <c r="V14" s="0" t="n">
        <v>51</v>
      </c>
      <c r="W14" s="0" t="n">
        <v>72</v>
      </c>
      <c r="X14" s="0" t="n">
        <v>50</v>
      </c>
      <c r="Y14" s="0" t="n">
        <v>55</v>
      </c>
      <c r="Z14" s="0" t="n">
        <v>90</v>
      </c>
      <c r="AA14" s="0" t="n">
        <v>77</v>
      </c>
      <c r="AB14" s="0" t="n">
        <v>71</v>
      </c>
      <c r="AC14" s="0" t="n">
        <v>65</v>
      </c>
      <c r="AD14" s="0" t="n">
        <v>65</v>
      </c>
      <c r="AE14" s="0" t="n">
        <v>5542</v>
      </c>
      <c r="AF14" s="0" t="n">
        <v>2001926</v>
      </c>
      <c r="AG14" s="0" t="n">
        <f aca="false">IF(ISNA(MATCH($C14,_Overall_Model!$A$2:$A$6,0)),"",ROUND(SUMPRODUCT(L14:AD14,INDEX(_Overall_Model!$B$2:$T$6,MATCH($C14,_Overall_Model!$A$2:$A$6,0),0))+INDEX(_Overall_Model!$U$2:$U$6,MATCH($C14,_Overall_Model!$A$2:$A$6,0))+INDEX(_Overall_Model!$V$2:$V$6,MATCH($C14,_Overall_Model!$A$2:$A$6,0))*IF(Q14&gt;=75,99,IF(Q14&gt;=60,50,0))+INDEX(_Overall_Model!$W$2:$W$6,MATCH($C14,_Overall_Model!$A$2:$A$6,0))*J14+INDEX(_Overall_Model!$X$2:$X$6,MATCH($C14,_Overall_Model!$A$2:$A$6,0))*K14,0))</f>
        <v>72</v>
      </c>
    </row>
    <row r="15" customFormat="false" ht="15" hidden="false" customHeight="false" outlineLevel="0" collapsed="false">
      <c r="A15" s="0" t="s">
        <v>484</v>
      </c>
      <c r="B15" s="0" t="s">
        <v>485</v>
      </c>
      <c r="C15" s="0" t="s">
        <v>39</v>
      </c>
      <c r="D15" s="0" t="s">
        <v>36</v>
      </c>
      <c r="E15" s="0" t="n">
        <v>22</v>
      </c>
      <c r="F15" s="0" t="n">
        <v>2009</v>
      </c>
      <c r="G15" s="0" t="n">
        <v>1</v>
      </c>
      <c r="H15" s="0" t="n">
        <v>13</v>
      </c>
      <c r="J15" s="0" t="n">
        <v>2.03</v>
      </c>
      <c r="K15" s="0" t="n">
        <v>90</v>
      </c>
      <c r="L15" s="0" t="n">
        <v>75</v>
      </c>
      <c r="M15" s="0" t="n">
        <v>67</v>
      </c>
      <c r="N15" s="0" t="n">
        <v>63</v>
      </c>
      <c r="O15" s="0" t="n">
        <v>65</v>
      </c>
      <c r="P15" s="0" t="n">
        <v>72</v>
      </c>
      <c r="Q15" s="0" t="n">
        <v>74</v>
      </c>
      <c r="R15" s="0" t="n">
        <v>58</v>
      </c>
      <c r="S15" s="0" t="n">
        <v>58</v>
      </c>
      <c r="T15" s="0" t="n">
        <v>71</v>
      </c>
      <c r="U15" s="0" t="n">
        <v>74</v>
      </c>
      <c r="V15" s="0" t="n">
        <v>70</v>
      </c>
      <c r="W15" s="0" t="n">
        <v>60</v>
      </c>
      <c r="X15" s="0" t="n">
        <v>78</v>
      </c>
      <c r="Y15" s="0" t="n">
        <v>76</v>
      </c>
      <c r="Z15" s="0" t="n">
        <v>66</v>
      </c>
      <c r="AA15" s="0" t="n">
        <v>77</v>
      </c>
      <c r="AB15" s="0" t="n">
        <v>77</v>
      </c>
      <c r="AC15" s="0" t="n">
        <v>61</v>
      </c>
      <c r="AD15" s="0" t="n">
        <v>61</v>
      </c>
      <c r="AE15" s="0" t="n">
        <v>9195</v>
      </c>
      <c r="AF15" s="0" t="n">
        <v>2005196</v>
      </c>
      <c r="AG15" s="0" t="n">
        <f aca="false">IF(ISNA(MATCH($C15,_Overall_Model!$A$2:$A$6,0)),"",ROUND(SUMPRODUCT(L15:AD15,INDEX(_Overall_Model!$B$2:$T$6,MATCH($C15,_Overall_Model!$A$2:$A$6,0),0))+INDEX(_Overall_Model!$U$2:$U$6,MATCH($C15,_Overall_Model!$A$2:$A$6,0))+INDEX(_Overall_Model!$V$2:$V$6,MATCH($C15,_Overall_Model!$A$2:$A$6,0))*IF(Q15&gt;=75,99,IF(Q15&gt;=60,50,0))+INDEX(_Overall_Model!$W$2:$W$6,MATCH($C15,_Overall_Model!$A$2:$A$6,0))*J15+INDEX(_Overall_Model!$X$2:$X$6,MATCH($C15,_Overall_Model!$A$2:$A$6,0))*K15,0))</f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4" min="2" style="0" width="12"/>
  </cols>
  <sheetData>
    <row r="1" customFormat="false" ht="15" hidden="false" customHeight="false" outlineLevel="0" collapsed="false">
      <c r="A1" s="1" t="s">
        <v>2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486</v>
      </c>
      <c r="V1" s="1" t="s">
        <v>487</v>
      </c>
      <c r="W1" s="1" t="s">
        <v>488</v>
      </c>
      <c r="X1" s="1" t="s">
        <v>489</v>
      </c>
    </row>
    <row r="2" customFormat="false" ht="15" hidden="false" customHeight="false" outlineLevel="0" collapsed="false">
      <c r="A2" s="0" t="s">
        <v>35</v>
      </c>
      <c r="B2" s="0" t="n">
        <v>0.0503</v>
      </c>
      <c r="C2" s="0" t="n">
        <v>0.2263</v>
      </c>
      <c r="D2" s="0" t="n">
        <v>0.0838</v>
      </c>
      <c r="E2" s="0" t="n">
        <v>0.0294</v>
      </c>
      <c r="F2" s="0" t="n">
        <v>0.1129</v>
      </c>
      <c r="G2" s="0" t="n">
        <v>0.0251</v>
      </c>
      <c r="H2" s="0" t="n">
        <v>0.1293</v>
      </c>
      <c r="I2" s="0" t="n">
        <v>0.1482</v>
      </c>
      <c r="J2" s="0" t="n">
        <v>0.0224</v>
      </c>
      <c r="K2" s="0" t="n">
        <v>0.0429</v>
      </c>
      <c r="L2" s="0" t="n">
        <v>0.0236</v>
      </c>
      <c r="M2" s="0" t="n">
        <v>0.1153</v>
      </c>
      <c r="N2" s="0" t="n">
        <v>0.0615</v>
      </c>
      <c r="O2" s="0" t="n">
        <v>0.0561</v>
      </c>
      <c r="P2" s="0" t="n">
        <v>0.0515</v>
      </c>
      <c r="Q2" s="0" t="n">
        <v>0.0238</v>
      </c>
      <c r="R2" s="0" t="n">
        <v>0.0116</v>
      </c>
      <c r="S2" s="0" t="n">
        <v>0.0871</v>
      </c>
      <c r="T2" s="0" t="n">
        <v>0.0759</v>
      </c>
      <c r="U2" s="0" t="n">
        <v>-24.9705</v>
      </c>
      <c r="V2" s="0" t="n">
        <v>-0.0017</v>
      </c>
      <c r="W2" s="0" t="n">
        <v>0</v>
      </c>
      <c r="X2" s="0" t="n">
        <v>0</v>
      </c>
    </row>
    <row r="3" customFormat="false" ht="15" hidden="false" customHeight="false" outlineLevel="0" collapsed="false">
      <c r="A3" s="0" t="s">
        <v>42</v>
      </c>
      <c r="B3" s="0" t="n">
        <v>0.0388</v>
      </c>
      <c r="C3" s="0" t="n">
        <v>0.2107</v>
      </c>
      <c r="D3" s="0" t="n">
        <v>0.0982</v>
      </c>
      <c r="E3" s="0" t="n">
        <v>0.05</v>
      </c>
      <c r="F3" s="0" t="n">
        <v>0.0941</v>
      </c>
      <c r="G3" s="0" t="n">
        <v>0.0948</v>
      </c>
      <c r="H3" s="0" t="n">
        <v>0.1093</v>
      </c>
      <c r="I3" s="0" t="n">
        <v>0.0572</v>
      </c>
      <c r="J3" s="0" t="n">
        <v>0.0227</v>
      </c>
      <c r="K3" s="0" t="n">
        <v>0.0505</v>
      </c>
      <c r="L3" s="0" t="n">
        <v>0.0269</v>
      </c>
      <c r="M3" s="0" t="n">
        <v>0.0536</v>
      </c>
      <c r="N3" s="0" t="n">
        <v>0.0459</v>
      </c>
      <c r="O3" s="0" t="n">
        <v>0.0607</v>
      </c>
      <c r="P3" s="0" t="n">
        <v>0.0632</v>
      </c>
      <c r="Q3" s="0" t="n">
        <v>-0.0032</v>
      </c>
      <c r="R3" s="0" t="n">
        <v>0.009</v>
      </c>
      <c r="S3" s="0" t="n">
        <v>0.0853</v>
      </c>
      <c r="T3" s="0" t="n">
        <v>0.0631</v>
      </c>
      <c r="U3" s="0" t="n">
        <v>-12.7625</v>
      </c>
      <c r="V3" s="0" t="n">
        <v>-0.0017</v>
      </c>
      <c r="W3" s="0" t="n">
        <v>0</v>
      </c>
      <c r="X3" s="0" t="n">
        <v>0</v>
      </c>
    </row>
    <row r="4" customFormat="false" ht="15" hidden="false" customHeight="false" outlineLevel="0" collapsed="false">
      <c r="A4" s="0" t="s">
        <v>45</v>
      </c>
      <c r="B4" s="0" t="n">
        <v>0.0474</v>
      </c>
      <c r="C4" s="0" t="n">
        <v>0.2053</v>
      </c>
      <c r="D4" s="0" t="n">
        <v>0.0766</v>
      </c>
      <c r="E4" s="0" t="n">
        <v>0.0214</v>
      </c>
      <c r="F4" s="0" t="n">
        <v>0.0707</v>
      </c>
      <c r="G4" s="0" t="n">
        <v>0.0863</v>
      </c>
      <c r="H4" s="0" t="n">
        <v>0.0898</v>
      </c>
      <c r="I4" s="0" t="n">
        <v>0.0524</v>
      </c>
      <c r="J4" s="0" t="n">
        <v>0.1063</v>
      </c>
      <c r="K4" s="0" t="n">
        <v>0.0901</v>
      </c>
      <c r="L4" s="0" t="n">
        <v>0.0655</v>
      </c>
      <c r="M4" s="0" t="n">
        <v>0.046</v>
      </c>
      <c r="N4" s="0" t="n">
        <v>0.046</v>
      </c>
      <c r="O4" s="0" t="n">
        <v>0.0892</v>
      </c>
      <c r="P4" s="0" t="n">
        <v>0.0211</v>
      </c>
      <c r="Q4" s="0" t="n">
        <v>0.0032</v>
      </c>
      <c r="R4" s="0" t="n">
        <v>-0.0214</v>
      </c>
      <c r="S4" s="0" t="n">
        <v>0.0773</v>
      </c>
      <c r="T4" s="0" t="n">
        <v>0.0747</v>
      </c>
      <c r="U4" s="0" t="n">
        <v>-13.8705</v>
      </c>
      <c r="V4" s="0" t="n">
        <v>-0.0017</v>
      </c>
      <c r="W4" s="0" t="n">
        <v>0</v>
      </c>
      <c r="X4" s="0" t="n">
        <v>0</v>
      </c>
    </row>
    <row r="5" customFormat="false" ht="15" hidden="false" customHeight="false" outlineLevel="0" collapsed="false">
      <c r="A5" s="0" t="s">
        <v>39</v>
      </c>
      <c r="B5" s="0" t="n">
        <v>0.0654</v>
      </c>
      <c r="C5" s="0" t="n">
        <v>0.1793</v>
      </c>
      <c r="D5" s="0" t="n">
        <v>0.0312</v>
      </c>
      <c r="E5" s="0" t="n">
        <v>0.0313</v>
      </c>
      <c r="F5" s="0" t="n">
        <v>0.0464</v>
      </c>
      <c r="G5" s="0" t="n">
        <v>0.1085</v>
      </c>
      <c r="H5" s="0" t="n">
        <v>0.0129</v>
      </c>
      <c r="I5" s="0" t="n">
        <v>0.0207</v>
      </c>
      <c r="J5" s="0" t="n">
        <v>0.1188</v>
      </c>
      <c r="K5" s="0" t="n">
        <v>0.1091</v>
      </c>
      <c r="L5" s="0" t="n">
        <v>0.1032</v>
      </c>
      <c r="M5" s="0" t="n">
        <v>0.0596</v>
      </c>
      <c r="N5" s="0" t="n">
        <v>0.0901</v>
      </c>
      <c r="O5" s="0" t="n">
        <v>0.1085</v>
      </c>
      <c r="P5" s="0" t="n">
        <v>0.0281</v>
      </c>
      <c r="Q5" s="0" t="n">
        <v>0.0213</v>
      </c>
      <c r="R5" s="0" t="n">
        <v>-0.0233</v>
      </c>
      <c r="S5" s="0" t="n">
        <v>0.0388</v>
      </c>
      <c r="T5" s="0" t="n">
        <v>0.0841</v>
      </c>
      <c r="U5" s="0" t="n">
        <v>-15.4195</v>
      </c>
      <c r="V5" s="0" t="n">
        <v>-0.0017</v>
      </c>
      <c r="W5" s="0" t="n">
        <v>0</v>
      </c>
      <c r="X5" s="0" t="n">
        <v>0</v>
      </c>
    </row>
    <row r="6" customFormat="false" ht="15" hidden="false" customHeight="false" outlineLevel="0" collapsed="false">
      <c r="A6" s="0" t="s">
        <v>52</v>
      </c>
      <c r="B6" s="0" t="n">
        <v>0.0717</v>
      </c>
      <c r="C6" s="0" t="n">
        <v>0.1375</v>
      </c>
      <c r="D6" s="0" t="n">
        <v>0.0446</v>
      </c>
      <c r="E6" s="0" t="n">
        <v>0.0416</v>
      </c>
      <c r="F6" s="0" t="n">
        <v>0.0399</v>
      </c>
      <c r="G6" s="0" t="n">
        <v>0.086</v>
      </c>
      <c r="H6" s="0" t="n">
        <v>0.0377</v>
      </c>
      <c r="I6" s="0" t="n">
        <v>0.0437</v>
      </c>
      <c r="J6" s="0" t="n">
        <v>0.1269</v>
      </c>
      <c r="K6" s="0" t="n">
        <v>0.1766</v>
      </c>
      <c r="L6" s="0" t="n">
        <v>0.1221</v>
      </c>
      <c r="M6" s="0" t="n">
        <v>0.0357</v>
      </c>
      <c r="N6" s="0" t="n">
        <v>0.1161</v>
      </c>
      <c r="O6" s="0" t="n">
        <v>0.1634</v>
      </c>
      <c r="P6" s="0" t="n">
        <v>0.0186</v>
      </c>
      <c r="Q6" s="0" t="n">
        <v>0.0012</v>
      </c>
      <c r="R6" s="0" t="n">
        <v>0.0163</v>
      </c>
      <c r="S6" s="0" t="n">
        <v>0.0109</v>
      </c>
      <c r="T6" s="0" t="n">
        <v>0.0834</v>
      </c>
      <c r="U6" s="0" t="n">
        <v>-25.5255</v>
      </c>
      <c r="V6" s="0" t="n">
        <v>-0.0017</v>
      </c>
      <c r="W6" s="0" t="n">
        <v>0</v>
      </c>
      <c r="X6" s="0" t="n">
        <v>0</v>
      </c>
    </row>
    <row r="8" customFormat="false" ht="15" hidden="false" customHeight="false" outlineLevel="0" collapsed="false">
      <c r="A8" s="0" t="s">
        <v>490</v>
      </c>
    </row>
    <row r="9" customFormat="false" ht="15" hidden="false" customHeight="false" outlineLevel="0" collapsed="false">
      <c r="A9" s="0" t="s">
        <v>491</v>
      </c>
    </row>
    <row r="10" customFormat="false" ht="15" hidden="false" customHeight="false" outlineLevel="0" collapsed="false">
      <c r="A10" s="0" t="s">
        <v>492</v>
      </c>
    </row>
    <row r="11" customFormat="false" ht="15" hidden="false" customHeight="false" outlineLevel="0" collapsed="false">
      <c r="A11" s="0" t="s">
        <v>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2026-10-23T12:18:08Z</dcterms:created>
  <dc:creator>openpyxl</dc:creator>
  <dc:description/>
  <dc:language>de-DE</dc:language>
  <cp:lastModifiedBy/>
  <dcterms:modified xsi:type="dcterms:W3CDTF">2026-10-23T14:51:50Z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