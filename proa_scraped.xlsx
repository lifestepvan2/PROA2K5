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agons" sheetId="1" state="visible" r:id="rId1"/>
    <sheet name="Gottingen" sheetId="2" state="visible" r:id="rId2"/>
    <sheet name="Bremerhaven" sheetId="3" state="visible" r:id="rId3"/>
    <sheet name="Koblenz" sheetId="4" state="visible" r:id="rId4"/>
    <sheet name="Essen" sheetId="5" state="visible" r:id="rId5"/>
    <sheet name="46ers" sheetId="6" state="visible" r:id="rId6"/>
    <sheet name="Crailsheim Merlins" sheetId="7" state="visible" r:id="rId7"/>
    <sheet name="Knights Kirchheim" sheetId="8" state="visible" r:id="rId8"/>
    <sheet name="Bayreuth" sheetId="9" state="visible" r:id="rId9"/>
    <sheet name="Heidelberg" sheetId="10" state="visible" r:id="rId10"/>
    <sheet name="Falcons" sheetId="11" state="visible" r:id="rId11"/>
    <sheet name="Ulm" sheetId="12" state="visible" r:id="rId12"/>
    <sheet name="Baskets" sheetId="13" state="visible" r:id="rId13"/>
    <sheet name="LIONS" sheetId="14" state="visible" r:id="rId14"/>
    <sheet name="Koln" sheetId="15" state="visible" r:id="rId15"/>
    <sheet name="Wolmirstedt" sheetId="16" state="visible" r:id="rId16"/>
    <sheet name="Tubingen" sheetId="17" state="visible" r:id="rId17"/>
    <sheet name="Stars Bochum" sheetId="18" state="visible" r:id="rId18"/>
    <sheet name="_Overall_Model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6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Buzz</t>
        </is>
      </c>
      <c r="B2" t="inlineStr">
        <is>
          <t>Anthony</t>
        </is>
      </c>
      <c r="C2" t="inlineStr">
        <is>
          <t>PG</t>
        </is>
      </c>
      <c r="D2" t="inlineStr">
        <is>
          <t>N/A</t>
        </is>
      </c>
      <c r="E2" t="n">
        <v>9</v>
      </c>
      <c r="F2" t="n">
        <v>1998</v>
      </c>
      <c r="G2" t="n">
        <v>9</v>
      </c>
      <c r="H2" t="n">
        <v>4</v>
      </c>
      <c r="J2" t="n">
        <v>1.8</v>
      </c>
      <c r="K2" t="n">
        <v>83</v>
      </c>
      <c r="L2" t="n">
        <v>83</v>
      </c>
      <c r="M2" t="n">
        <v>88</v>
      </c>
      <c r="N2" t="n">
        <v>90</v>
      </c>
      <c r="O2" t="n">
        <v>99</v>
      </c>
      <c r="P2" t="n">
        <v>95</v>
      </c>
      <c r="Q2" t="n">
        <v>66</v>
      </c>
      <c r="R2" t="n">
        <v>99</v>
      </c>
      <c r="S2" t="n">
        <v>99</v>
      </c>
      <c r="T2" t="n">
        <v>62</v>
      </c>
      <c r="U2" t="n">
        <v>55</v>
      </c>
      <c r="V2" t="n">
        <v>55</v>
      </c>
      <c r="W2" t="n">
        <v>99</v>
      </c>
      <c r="X2" t="n">
        <v>61</v>
      </c>
      <c r="Y2" t="n">
        <v>63</v>
      </c>
      <c r="Z2" t="n">
        <v>99</v>
      </c>
      <c r="AA2" t="n">
        <v>88</v>
      </c>
      <c r="AB2" t="n">
        <v>83</v>
      </c>
      <c r="AC2" t="n">
        <v>83</v>
      </c>
      <c r="AD2" t="n">
        <v>82</v>
      </c>
      <c r="AE2" t="n">
        <v>5052</v>
      </c>
      <c r="AF2" t="n">
        <v>2000116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Naz</t>
        </is>
      </c>
      <c r="B3" t="inlineStr">
        <is>
          <t>Bohannon</t>
        </is>
      </c>
      <c r="C3" t="inlineStr">
        <is>
          <t>PF</t>
        </is>
      </c>
      <c r="D3" t="inlineStr">
        <is>
          <t>N/A</t>
        </is>
      </c>
      <c r="E3" t="n">
        <v>32</v>
      </c>
      <c r="F3" t="n">
        <v>1999</v>
      </c>
      <c r="G3" t="n">
        <v>1</v>
      </c>
      <c r="H3" t="n">
        <v>22</v>
      </c>
      <c r="J3" t="n">
        <v>1.98</v>
      </c>
      <c r="K3" t="n">
        <v>103</v>
      </c>
      <c r="L3" t="n">
        <v>91</v>
      </c>
      <c r="M3" t="n">
        <v>80</v>
      </c>
      <c r="N3" t="n">
        <v>60</v>
      </c>
      <c r="O3" t="n">
        <v>60</v>
      </c>
      <c r="P3" t="n">
        <v>88</v>
      </c>
      <c r="Q3" t="n">
        <v>84</v>
      </c>
      <c r="R3" t="n">
        <v>70</v>
      </c>
      <c r="S3" t="n">
        <v>71</v>
      </c>
      <c r="T3" t="n">
        <v>84</v>
      </c>
      <c r="U3" t="n">
        <v>87</v>
      </c>
      <c r="V3" t="n">
        <v>81</v>
      </c>
      <c r="W3" t="n">
        <v>71</v>
      </c>
      <c r="X3" t="n">
        <v>95</v>
      </c>
      <c r="Y3" t="n">
        <v>69</v>
      </c>
      <c r="Z3" t="n">
        <v>75</v>
      </c>
      <c r="AA3" t="n">
        <v>88</v>
      </c>
      <c r="AB3" t="n">
        <v>94</v>
      </c>
      <c r="AC3" t="n">
        <v>77</v>
      </c>
      <c r="AD3" t="n">
        <v>78</v>
      </c>
      <c r="AE3" t="n">
        <v>9190</v>
      </c>
      <c r="AF3" t="n">
        <v>2005105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Jonathan</t>
        </is>
      </c>
      <c r="B4" t="inlineStr">
        <is>
          <t>Klussmann</t>
        </is>
      </c>
      <c r="C4" t="inlineStr">
        <is>
          <t>SG</t>
        </is>
      </c>
      <c r="D4" t="inlineStr">
        <is>
          <t>N/A</t>
        </is>
      </c>
      <c r="E4" t="n">
        <v>71</v>
      </c>
      <c r="F4" t="n">
        <v>2002</v>
      </c>
      <c r="G4" t="n">
        <v>10</v>
      </c>
      <c r="H4" t="n">
        <v>6</v>
      </c>
      <c r="J4" t="n">
        <v>1.9</v>
      </c>
      <c r="K4" t="n">
        <v>88</v>
      </c>
      <c r="L4" t="n">
        <v>85</v>
      </c>
      <c r="M4" t="n">
        <v>88</v>
      </c>
      <c r="N4" t="n">
        <v>67</v>
      </c>
      <c r="O4" t="n">
        <v>94</v>
      </c>
      <c r="P4" t="n">
        <v>92</v>
      </c>
      <c r="Q4" t="n">
        <v>69</v>
      </c>
      <c r="R4" t="n">
        <v>87</v>
      </c>
      <c r="S4" t="n">
        <v>79</v>
      </c>
      <c r="T4" t="n">
        <v>64</v>
      </c>
      <c r="U4" t="n">
        <v>60</v>
      </c>
      <c r="V4" t="n">
        <v>60</v>
      </c>
      <c r="W4" t="n">
        <v>81</v>
      </c>
      <c r="X4" t="n">
        <v>59</v>
      </c>
      <c r="Y4" t="n">
        <v>66</v>
      </c>
      <c r="Z4" t="n">
        <v>91</v>
      </c>
      <c r="AA4" t="n">
        <v>86</v>
      </c>
      <c r="AB4" t="n">
        <v>80</v>
      </c>
      <c r="AC4" t="n">
        <v>79</v>
      </c>
      <c r="AD4" t="n">
        <v>81</v>
      </c>
      <c r="AE4" t="n">
        <v>9134</v>
      </c>
      <c r="AF4" t="n">
        <v>2004392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Moritz</t>
        </is>
      </c>
      <c r="B5" t="inlineStr">
        <is>
          <t>Grüß</t>
        </is>
      </c>
      <c r="C5" t="inlineStr">
        <is>
          <t>SF</t>
        </is>
      </c>
      <c r="D5" t="inlineStr">
        <is>
          <t>N/A</t>
        </is>
      </c>
      <c r="E5" t="n">
        <v>8</v>
      </c>
      <c r="F5" t="n">
        <v>2008</v>
      </c>
      <c r="G5" t="n">
        <v>9</v>
      </c>
      <c r="H5" t="n">
        <v>30</v>
      </c>
      <c r="J5" t="n">
        <v>1.96</v>
      </c>
      <c r="K5" t="n">
        <v>92</v>
      </c>
      <c r="L5" t="n">
        <v>84</v>
      </c>
      <c r="M5" t="n">
        <v>84</v>
      </c>
      <c r="N5" t="n">
        <v>67</v>
      </c>
      <c r="O5" t="n">
        <v>69</v>
      </c>
      <c r="P5" t="n">
        <v>88</v>
      </c>
      <c r="Q5" t="n">
        <v>79</v>
      </c>
      <c r="R5" t="n">
        <v>78</v>
      </c>
      <c r="S5" t="n">
        <v>71</v>
      </c>
      <c r="T5" t="n">
        <v>65</v>
      </c>
      <c r="U5" t="n">
        <v>74</v>
      </c>
      <c r="V5" t="n">
        <v>69</v>
      </c>
      <c r="W5" t="n">
        <v>79</v>
      </c>
      <c r="X5" t="n">
        <v>71</v>
      </c>
      <c r="Y5" t="n">
        <v>69</v>
      </c>
      <c r="Z5" t="n">
        <v>88</v>
      </c>
      <c r="AA5" t="n">
        <v>85</v>
      </c>
      <c r="AB5" t="n">
        <v>81</v>
      </c>
      <c r="AC5" t="n">
        <v>76</v>
      </c>
      <c r="AD5" t="n">
        <v>74</v>
      </c>
      <c r="AE5" t="n">
        <v>9158</v>
      </c>
      <c r="AF5" t="n">
        <v>2004604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Grant</t>
        </is>
      </c>
      <c r="B6" t="inlineStr">
        <is>
          <t>Teichmann</t>
        </is>
      </c>
      <c r="C6" t="inlineStr">
        <is>
          <t>SG</t>
        </is>
      </c>
      <c r="D6" t="inlineStr">
        <is>
          <t>N/A</t>
        </is>
      </c>
      <c r="E6" t="n">
        <v>6</v>
      </c>
      <c r="F6" t="n">
        <v>1996</v>
      </c>
      <c r="G6" t="n">
        <v>8</v>
      </c>
      <c r="H6" t="n">
        <v>6</v>
      </c>
      <c r="J6" t="n">
        <v>1.91</v>
      </c>
      <c r="K6" t="n">
        <v>90</v>
      </c>
      <c r="L6" t="n">
        <v>80</v>
      </c>
      <c r="M6" t="n">
        <v>83</v>
      </c>
      <c r="N6" t="n">
        <v>92</v>
      </c>
      <c r="O6" t="n">
        <v>60</v>
      </c>
      <c r="P6" t="n">
        <v>87</v>
      </c>
      <c r="Q6" t="n">
        <v>66</v>
      </c>
      <c r="R6" t="n">
        <v>90</v>
      </c>
      <c r="S6" t="n">
        <v>78</v>
      </c>
      <c r="T6" t="n">
        <v>60</v>
      </c>
      <c r="U6" t="n">
        <v>59</v>
      </c>
      <c r="V6" t="n">
        <v>59</v>
      </c>
      <c r="W6" t="n">
        <v>80</v>
      </c>
      <c r="X6" t="n">
        <v>58</v>
      </c>
      <c r="Y6" t="n">
        <v>63</v>
      </c>
      <c r="Z6" t="n">
        <v>87</v>
      </c>
      <c r="AA6" t="n">
        <v>82</v>
      </c>
      <c r="AB6" t="n">
        <v>79</v>
      </c>
      <c r="AC6" t="n">
        <v>80</v>
      </c>
      <c r="AD6" t="n">
        <v>84</v>
      </c>
      <c r="AE6" t="n">
        <v>9135</v>
      </c>
      <c r="AF6" t="n">
        <v>2004414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Epke</t>
        </is>
      </c>
      <c r="B7" t="inlineStr">
        <is>
          <t>Kruthaup</t>
        </is>
      </c>
      <c r="C7" t="inlineStr">
        <is>
          <t>PG</t>
        </is>
      </c>
      <c r="D7" t="inlineStr">
        <is>
          <t>N/A</t>
        </is>
      </c>
      <c r="E7" t="n">
        <v>2</v>
      </c>
      <c r="F7" t="n">
        <v>2008</v>
      </c>
      <c r="G7" t="n">
        <v>9</v>
      </c>
      <c r="H7" t="n">
        <v>7</v>
      </c>
      <c r="J7" t="n">
        <v>1.85</v>
      </c>
      <c r="K7" t="n">
        <v>75</v>
      </c>
      <c r="L7" t="n">
        <v>78</v>
      </c>
      <c r="M7" t="n">
        <v>83</v>
      </c>
      <c r="N7" t="n">
        <v>90</v>
      </c>
      <c r="O7" t="n">
        <v>69</v>
      </c>
      <c r="P7" t="n">
        <v>89</v>
      </c>
      <c r="Q7" t="n">
        <v>65</v>
      </c>
      <c r="R7" t="n">
        <v>93</v>
      </c>
      <c r="S7" t="n">
        <v>88</v>
      </c>
      <c r="T7" t="n">
        <v>58</v>
      </c>
      <c r="U7" t="n">
        <v>54</v>
      </c>
      <c r="V7" t="n">
        <v>54</v>
      </c>
      <c r="W7" t="n">
        <v>93</v>
      </c>
      <c r="X7" t="n">
        <v>58</v>
      </c>
      <c r="Y7" t="n">
        <v>58</v>
      </c>
      <c r="Z7" t="n">
        <v>98</v>
      </c>
      <c r="AA7" t="n">
        <v>85</v>
      </c>
      <c r="AB7" t="n">
        <v>80</v>
      </c>
      <c r="AC7" t="n">
        <v>74</v>
      </c>
      <c r="AD7" t="n">
        <v>72</v>
      </c>
      <c r="AE7" t="n">
        <v>9433</v>
      </c>
      <c r="AF7" t="n">
        <v>2003111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Danas</t>
        </is>
      </c>
      <c r="B8" t="inlineStr">
        <is>
          <t>Kazakevicius</t>
        </is>
      </c>
      <c r="C8" t="inlineStr">
        <is>
          <t>C</t>
        </is>
      </c>
      <c r="D8" t="inlineStr">
        <is>
          <t>N/A</t>
        </is>
      </c>
      <c r="E8" t="n">
        <v>10</v>
      </c>
      <c r="F8" t="n">
        <v>2005</v>
      </c>
      <c r="G8" t="n">
        <v>5</v>
      </c>
      <c r="H8" t="n">
        <v>23</v>
      </c>
      <c r="J8" t="n">
        <v>2.06</v>
      </c>
      <c r="K8" t="n">
        <v>102</v>
      </c>
      <c r="L8" t="n">
        <v>93</v>
      </c>
      <c r="M8" t="n">
        <v>70</v>
      </c>
      <c r="N8" t="n">
        <v>53</v>
      </c>
      <c r="O8" t="n">
        <v>75</v>
      </c>
      <c r="P8" t="n">
        <v>84</v>
      </c>
      <c r="Q8" t="n">
        <v>87</v>
      </c>
      <c r="R8" t="n">
        <v>58</v>
      </c>
      <c r="S8" t="n">
        <v>59</v>
      </c>
      <c r="T8" t="n">
        <v>84</v>
      </c>
      <c r="U8" t="n">
        <v>91</v>
      </c>
      <c r="V8" t="n">
        <v>90</v>
      </c>
      <c r="W8" t="n">
        <v>63</v>
      </c>
      <c r="X8" t="n">
        <v>94</v>
      </c>
      <c r="Y8" t="n">
        <v>73</v>
      </c>
      <c r="Z8" t="n">
        <v>64</v>
      </c>
      <c r="AA8" t="n">
        <v>87</v>
      </c>
      <c r="AB8" t="n">
        <v>92</v>
      </c>
      <c r="AC8" t="n">
        <v>67</v>
      </c>
      <c r="AD8" t="n">
        <v>68</v>
      </c>
      <c r="AE8" t="n">
        <v>9198</v>
      </c>
      <c r="AF8" t="n">
        <v>2005245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Emanuel</t>
        </is>
      </c>
      <c r="B9" t="inlineStr">
        <is>
          <t>Ozike</t>
        </is>
      </c>
      <c r="C9" t="inlineStr">
        <is>
          <t>C</t>
        </is>
      </c>
      <c r="D9" t="inlineStr">
        <is>
          <t>N/A</t>
        </is>
      </c>
      <c r="E9" t="n">
        <v>21</v>
      </c>
      <c r="F9" t="n">
        <v>2002</v>
      </c>
      <c r="G9" t="n">
        <v>11</v>
      </c>
      <c r="H9" t="n">
        <v>22</v>
      </c>
      <c r="J9" t="n">
        <v>2.04</v>
      </c>
      <c r="K9" t="n">
        <v>99</v>
      </c>
      <c r="L9" t="n">
        <v>89</v>
      </c>
      <c r="M9" t="n">
        <v>69</v>
      </c>
      <c r="N9" t="n">
        <v>57</v>
      </c>
      <c r="O9" t="n">
        <v>60</v>
      </c>
      <c r="P9" t="n">
        <v>80</v>
      </c>
      <c r="Q9" t="n">
        <v>84</v>
      </c>
      <c r="R9" t="n">
        <v>57</v>
      </c>
      <c r="S9" t="n">
        <v>60</v>
      </c>
      <c r="T9" t="n">
        <v>82</v>
      </c>
      <c r="U9" t="n">
        <v>88</v>
      </c>
      <c r="V9" t="n">
        <v>86</v>
      </c>
      <c r="W9" t="n">
        <v>62</v>
      </c>
      <c r="X9" t="n">
        <v>90</v>
      </c>
      <c r="Y9" t="n">
        <v>69</v>
      </c>
      <c r="Z9" t="n">
        <v>59</v>
      </c>
      <c r="AA9" t="n">
        <v>86</v>
      </c>
      <c r="AB9" t="n">
        <v>88</v>
      </c>
      <c r="AC9" t="n">
        <v>70</v>
      </c>
      <c r="AD9" t="n">
        <v>73</v>
      </c>
      <c r="AE9" t="n">
        <v>9139</v>
      </c>
      <c r="AF9" t="n">
        <v>2004438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Dominik</t>
        </is>
      </c>
      <c r="B10" t="inlineStr">
        <is>
          <t>Dolic</t>
        </is>
      </c>
      <c r="C10" t="inlineStr">
        <is>
          <t>PG</t>
        </is>
      </c>
      <c r="D10" t="inlineStr">
        <is>
          <t>N/A</t>
        </is>
      </c>
      <c r="E10" t="n">
        <v>3</v>
      </c>
      <c r="F10" t="n">
        <v>2006</v>
      </c>
      <c r="G10" t="n">
        <v>10</v>
      </c>
      <c r="H10" t="n">
        <v>30</v>
      </c>
      <c r="J10" t="n">
        <v>1.94</v>
      </c>
      <c r="K10" t="n">
        <v>87</v>
      </c>
      <c r="L10" t="n">
        <v>77</v>
      </c>
      <c r="M10" t="n">
        <v>82</v>
      </c>
      <c r="N10" t="n">
        <v>67</v>
      </c>
      <c r="O10" t="n">
        <v>69</v>
      </c>
      <c r="P10" t="n">
        <v>85</v>
      </c>
      <c r="Q10" t="n">
        <v>66</v>
      </c>
      <c r="R10" t="n">
        <v>90</v>
      </c>
      <c r="S10" t="n">
        <v>87</v>
      </c>
      <c r="T10" t="n">
        <v>57</v>
      </c>
      <c r="U10" t="n">
        <v>57</v>
      </c>
      <c r="V10" t="n">
        <v>57</v>
      </c>
      <c r="W10" t="n">
        <v>89</v>
      </c>
      <c r="X10" t="n">
        <v>57</v>
      </c>
      <c r="Y10" t="n">
        <v>57</v>
      </c>
      <c r="Z10" t="n">
        <v>93</v>
      </c>
      <c r="AA10" t="n">
        <v>84</v>
      </c>
      <c r="AB10" t="n">
        <v>79</v>
      </c>
      <c r="AC10" t="n">
        <v>72</v>
      </c>
      <c r="AD10" t="n">
        <v>71</v>
      </c>
      <c r="AE10" t="n">
        <v>5535</v>
      </c>
      <c r="AF10" t="n">
        <v>2001879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Jamal</t>
        </is>
      </c>
      <c r="B11" t="inlineStr">
        <is>
          <t>Fuller</t>
        </is>
      </c>
      <c r="C11" t="inlineStr">
        <is>
          <t>PF</t>
        </is>
      </c>
      <c r="D11" t="inlineStr">
        <is>
          <t>N/A</t>
        </is>
      </c>
      <c r="E11" t="n">
        <v>33</v>
      </c>
      <c r="F11" t="n">
        <v>2001</v>
      </c>
      <c r="G11" t="n">
        <v>9</v>
      </c>
      <c r="H11" t="n">
        <v>21</v>
      </c>
      <c r="J11" t="n">
        <v>1.95</v>
      </c>
      <c r="K11" t="n">
        <v>110</v>
      </c>
      <c r="L11" t="n">
        <v>81</v>
      </c>
      <c r="M11" t="n">
        <v>73</v>
      </c>
      <c r="N11" t="n">
        <v>69</v>
      </c>
      <c r="O11" t="n">
        <v>85</v>
      </c>
      <c r="P11" t="n">
        <v>78</v>
      </c>
      <c r="Q11" t="n">
        <v>78</v>
      </c>
      <c r="R11" t="n">
        <v>66</v>
      </c>
      <c r="S11" t="n">
        <v>66</v>
      </c>
      <c r="T11" t="n">
        <v>77</v>
      </c>
      <c r="U11" t="n">
        <v>85</v>
      </c>
      <c r="V11" t="n">
        <v>76</v>
      </c>
      <c r="W11" t="n">
        <v>66</v>
      </c>
      <c r="X11" t="n">
        <v>87</v>
      </c>
      <c r="Y11" t="n">
        <v>70</v>
      </c>
      <c r="Z11" t="n">
        <v>67</v>
      </c>
      <c r="AA11" t="n">
        <v>83</v>
      </c>
      <c r="AB11" t="n">
        <v>86</v>
      </c>
      <c r="AC11" t="n">
        <v>72</v>
      </c>
      <c r="AD11" t="n">
        <v>73</v>
      </c>
      <c r="AE11" t="n">
        <v>9140</v>
      </c>
      <c r="AF11" t="n">
        <v>2004440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Elijah</t>
        </is>
      </c>
      <c r="B12" t="inlineStr">
        <is>
          <t>Ndi</t>
        </is>
      </c>
      <c r="C12" t="inlineStr">
        <is>
          <t>SF</t>
        </is>
      </c>
      <c r="D12" t="inlineStr">
        <is>
          <t>N/A</t>
        </is>
      </c>
      <c r="E12" t="n">
        <v>12</v>
      </c>
      <c r="F12" t="n">
        <v>2004</v>
      </c>
      <c r="G12" t="n">
        <v>9</v>
      </c>
      <c r="H12" t="n">
        <v>2</v>
      </c>
      <c r="J12" t="n">
        <v>1.95</v>
      </c>
      <c r="K12" t="n">
        <v>92</v>
      </c>
      <c r="L12" t="n">
        <v>79</v>
      </c>
      <c r="M12" t="n">
        <v>79</v>
      </c>
      <c r="N12" t="n">
        <v>67</v>
      </c>
      <c r="O12" t="n">
        <v>84</v>
      </c>
      <c r="P12" t="n">
        <v>83</v>
      </c>
      <c r="Q12" t="n">
        <v>73</v>
      </c>
      <c r="R12" t="n">
        <v>76</v>
      </c>
      <c r="S12" t="n">
        <v>70</v>
      </c>
      <c r="T12" t="n">
        <v>61</v>
      </c>
      <c r="U12" t="n">
        <v>71</v>
      </c>
      <c r="V12" t="n">
        <v>66</v>
      </c>
      <c r="W12" t="n">
        <v>73</v>
      </c>
      <c r="X12" t="n">
        <v>68</v>
      </c>
      <c r="Y12" t="n">
        <v>68</v>
      </c>
      <c r="Z12" t="n">
        <v>81</v>
      </c>
      <c r="AA12" t="n">
        <v>82</v>
      </c>
      <c r="AB12" t="n">
        <v>78</v>
      </c>
      <c r="AC12" t="n">
        <v>75</v>
      </c>
      <c r="AD12" t="n">
        <v>77</v>
      </c>
      <c r="AE12" t="n">
        <v>5536</v>
      </c>
      <c r="AF12" t="n">
        <v>2001880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Ralph</t>
        </is>
      </c>
      <c r="B13" t="inlineStr">
        <is>
          <t>Hounnou</t>
        </is>
      </c>
      <c r="C13" t="inlineStr">
        <is>
          <t>PG</t>
        </is>
      </c>
      <c r="D13" t="inlineStr">
        <is>
          <t>N/A</t>
        </is>
      </c>
      <c r="E13" t="n">
        <v>55</v>
      </c>
      <c r="F13" t="n">
        <v>2002</v>
      </c>
      <c r="G13" t="n">
        <v>1</v>
      </c>
      <c r="H13" t="n">
        <v>16</v>
      </c>
      <c r="J13" t="n">
        <v>1.92</v>
      </c>
      <c r="K13" t="n">
        <v>87</v>
      </c>
      <c r="L13" t="n">
        <v>76</v>
      </c>
      <c r="M13" t="n">
        <v>81</v>
      </c>
      <c r="N13" t="n">
        <v>67</v>
      </c>
      <c r="O13" t="n">
        <v>69</v>
      </c>
      <c r="P13" t="n">
        <v>87</v>
      </c>
      <c r="Q13" t="n">
        <v>61</v>
      </c>
      <c r="R13" t="n">
        <v>92</v>
      </c>
      <c r="S13" t="n">
        <v>88</v>
      </c>
      <c r="T13" t="n">
        <v>56</v>
      </c>
      <c r="U13" t="n">
        <v>52</v>
      </c>
      <c r="V13" t="n">
        <v>52</v>
      </c>
      <c r="W13" t="n">
        <v>88</v>
      </c>
      <c r="X13" t="n">
        <v>56</v>
      </c>
      <c r="Y13" t="n">
        <v>56</v>
      </c>
      <c r="Z13" t="n">
        <v>90</v>
      </c>
      <c r="AA13" t="n">
        <v>83</v>
      </c>
      <c r="AB13" t="n">
        <v>78</v>
      </c>
      <c r="AC13" t="n">
        <v>75</v>
      </c>
      <c r="AD13" t="n">
        <v>77</v>
      </c>
      <c r="AE13" t="n">
        <v>9014</v>
      </c>
      <c r="AF13" t="n">
        <v>1400019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  <row r="14">
      <c r="A14" t="inlineStr">
        <is>
          <t>Linus</t>
        </is>
      </c>
      <c r="B14" t="inlineStr">
        <is>
          <t>Trettin</t>
        </is>
      </c>
      <c r="C14" t="inlineStr">
        <is>
          <t>SF</t>
        </is>
      </c>
      <c r="D14" t="inlineStr">
        <is>
          <t>N/A</t>
        </is>
      </c>
      <c r="E14" t="n">
        <v>15</v>
      </c>
      <c r="F14" t="n">
        <v>2005</v>
      </c>
      <c r="G14" t="n">
        <v>5</v>
      </c>
      <c r="H14" t="n">
        <v>16</v>
      </c>
      <c r="J14" t="n">
        <v>2.03</v>
      </c>
      <c r="K14" t="n">
        <v>93</v>
      </c>
      <c r="L14" t="n">
        <v>78</v>
      </c>
      <c r="M14" t="n">
        <v>78</v>
      </c>
      <c r="N14" t="n">
        <v>71</v>
      </c>
      <c r="O14" t="n">
        <v>60</v>
      </c>
      <c r="P14" t="n">
        <v>82</v>
      </c>
      <c r="Q14" t="n">
        <v>74</v>
      </c>
      <c r="R14" t="n">
        <v>73</v>
      </c>
      <c r="S14" t="n">
        <v>67</v>
      </c>
      <c r="T14" t="n">
        <v>60</v>
      </c>
      <c r="U14" t="n">
        <v>70</v>
      </c>
      <c r="V14" t="n">
        <v>65</v>
      </c>
      <c r="W14" t="n">
        <v>72</v>
      </c>
      <c r="X14" t="n">
        <v>67</v>
      </c>
      <c r="Y14" t="n">
        <v>67</v>
      </c>
      <c r="Z14" t="n">
        <v>82</v>
      </c>
      <c r="AA14" t="n">
        <v>81</v>
      </c>
      <c r="AB14" t="n">
        <v>77</v>
      </c>
      <c r="AC14" t="n">
        <v>70</v>
      </c>
      <c r="AD14" t="n">
        <v>70</v>
      </c>
      <c r="AE14" t="n">
        <v>5586</v>
      </c>
      <c r="AF14" t="n">
        <v>2002205</v>
      </c>
      <c r="AG14">
        <f>IF(ISNA(MATCH($C14,'_Overall_Model'!$A$2:$A$6,0)),"",ROUND(SUMPRODUCT(L14:AD14,INDEX('_Overall_Model'!$B$2:$T$6,MATCH($C14,'_Overall_Model'!$A$2:$A$6,0),0))+INDEX('_Overall_Model'!$U$2:$U$6,MATCH($C14,'_Overall_Model'!$A$2:$A$6,0))+INDEX('_Overall_Model'!$V$2:$V$6,MATCH($C14,'_Overall_Model'!$A$2:$A$6,0))*IF(Q14&gt;=75,99,IF(Q14&gt;=60,50,0))+INDEX('_Overall_Model'!$W$2:$W$6,MATCH($C14,'_Overall_Model'!$A$2:$A$6,0))*J14+INDEX('_Overall_Model'!$X$2:$X$6,MATCH($C14,'_Overall_Model'!$A$2:$A$6,0))*K14,0))</f>
        <v/>
      </c>
    </row>
    <row r="15">
      <c r="A15" t="inlineStr">
        <is>
          <t>Djairo</t>
        </is>
      </c>
      <c r="B15" t="inlineStr">
        <is>
          <t>Bernardina</t>
        </is>
      </c>
      <c r="C15" t="inlineStr">
        <is>
          <t>SG</t>
        </is>
      </c>
      <c r="D15" t="inlineStr">
        <is>
          <t>N/A</t>
        </is>
      </c>
      <c r="E15" t="n">
        <v>5</v>
      </c>
      <c r="F15" t="n">
        <v>2007</v>
      </c>
      <c r="G15" t="n">
        <v>6</v>
      </c>
      <c r="H15" t="n">
        <v>12</v>
      </c>
      <c r="J15" t="n">
        <v>1.86</v>
      </c>
      <c r="K15" t="n">
        <v>82</v>
      </c>
      <c r="L15" t="n">
        <v>77</v>
      </c>
      <c r="M15" t="n">
        <v>80</v>
      </c>
      <c r="N15" t="n">
        <v>60</v>
      </c>
      <c r="O15" t="n">
        <v>60</v>
      </c>
      <c r="P15" t="n">
        <v>84</v>
      </c>
      <c r="Q15" t="n">
        <v>65</v>
      </c>
      <c r="R15" t="n">
        <v>87</v>
      </c>
      <c r="S15" t="n">
        <v>71</v>
      </c>
      <c r="T15" t="n">
        <v>57</v>
      </c>
      <c r="U15" t="n">
        <v>56</v>
      </c>
      <c r="V15" t="n">
        <v>56</v>
      </c>
      <c r="W15" t="n">
        <v>77</v>
      </c>
      <c r="X15" t="n">
        <v>55</v>
      </c>
      <c r="Y15" t="n">
        <v>60</v>
      </c>
      <c r="Z15" t="n">
        <v>93</v>
      </c>
      <c r="AA15" t="n">
        <v>82</v>
      </c>
      <c r="AB15" t="n">
        <v>76</v>
      </c>
      <c r="AC15" t="n">
        <v>70</v>
      </c>
      <c r="AD15" t="n">
        <v>70</v>
      </c>
      <c r="AE15" t="n">
        <v>5560</v>
      </c>
      <c r="AF15" t="n">
        <v>2002110</v>
      </c>
      <c r="AG15">
        <f>IF(ISNA(MATCH($C15,'_Overall_Model'!$A$2:$A$6,0)),"",ROUND(SUMPRODUCT(L15:AD15,INDEX('_Overall_Model'!$B$2:$T$6,MATCH($C15,'_Overall_Model'!$A$2:$A$6,0),0))+INDEX('_Overall_Model'!$U$2:$U$6,MATCH($C15,'_Overall_Model'!$A$2:$A$6,0))+INDEX('_Overall_Model'!$V$2:$V$6,MATCH($C15,'_Overall_Model'!$A$2:$A$6,0))*IF(Q15&gt;=75,99,IF(Q15&gt;=60,50,0))+INDEX('_Overall_Model'!$W$2:$W$6,MATCH($C15,'_Overall_Model'!$A$2:$A$6,0))*J15+INDEX('_Overall_Model'!$X$2:$X$6,MATCH($C15,'_Overall_Model'!$A$2:$A$6,0))*K15,0))</f>
        <v/>
      </c>
    </row>
    <row r="16">
      <c r="A16" t="inlineStr">
        <is>
          <t>Dejan</t>
        </is>
      </c>
      <c r="B16" t="inlineStr">
        <is>
          <t>Bruce</t>
        </is>
      </c>
      <c r="C16" t="inlineStr">
        <is>
          <t>PF</t>
        </is>
      </c>
      <c r="D16" t="inlineStr">
        <is>
          <t>N/A</t>
        </is>
      </c>
      <c r="E16" t="n">
        <v>7</v>
      </c>
      <c r="F16" t="n">
        <v>2002</v>
      </c>
      <c r="G16" t="n">
        <v>9</v>
      </c>
      <c r="H16" t="n">
        <v>2</v>
      </c>
      <c r="J16" t="n">
        <v>2.07</v>
      </c>
      <c r="K16" t="n">
        <v>96</v>
      </c>
      <c r="L16" t="n">
        <v>80</v>
      </c>
      <c r="M16" t="n">
        <v>72</v>
      </c>
      <c r="N16" t="n">
        <v>68</v>
      </c>
      <c r="O16" t="n">
        <v>69</v>
      </c>
      <c r="P16" t="n">
        <v>77</v>
      </c>
      <c r="Q16" t="n">
        <v>77</v>
      </c>
      <c r="R16" t="n">
        <v>63</v>
      </c>
      <c r="S16" t="n">
        <v>65</v>
      </c>
      <c r="T16" t="n">
        <v>76</v>
      </c>
      <c r="U16" t="n">
        <v>83</v>
      </c>
      <c r="V16" t="n">
        <v>78</v>
      </c>
      <c r="W16" t="n">
        <v>65</v>
      </c>
      <c r="X16" t="n">
        <v>83</v>
      </c>
      <c r="Y16" t="n">
        <v>84</v>
      </c>
      <c r="Z16" t="n">
        <v>67</v>
      </c>
      <c r="AA16" t="n">
        <v>82</v>
      </c>
      <c r="AB16" t="n">
        <v>82</v>
      </c>
      <c r="AC16" t="n">
        <v>70</v>
      </c>
      <c r="AD16" t="n">
        <v>72</v>
      </c>
      <c r="AE16" t="n">
        <v>5161</v>
      </c>
      <c r="AF16" t="n">
        <v>2001690</v>
      </c>
      <c r="AG16">
        <f>IF(ISNA(MATCH($C16,'_Overall_Model'!$A$2:$A$6,0)),"",ROUND(SUMPRODUCT(L16:AD16,INDEX('_Overall_Model'!$B$2:$T$6,MATCH($C16,'_Overall_Model'!$A$2:$A$6,0),0))+INDEX('_Overall_Model'!$U$2:$U$6,MATCH($C16,'_Overall_Model'!$A$2:$A$6,0))+INDEX('_Overall_Model'!$V$2:$V$6,MATCH($C16,'_Overall_Model'!$A$2:$A$6,0))*IF(Q16&gt;=75,99,IF(Q16&gt;=60,50,0))+INDEX('_Overall_Model'!$W$2:$W$6,MATCH($C16,'_Overall_Model'!$A$2:$A$6,0))*J16+INDEX('_Overall_Model'!$X$2:$X$6,MATCH($C16,'_Overall_Model'!$A$2:$A$6,0))*K16,0)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2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Tai</t>
        </is>
      </c>
      <c r="B2" t="inlineStr">
        <is>
          <t>Bibbs</t>
        </is>
      </c>
      <c r="C2" t="inlineStr">
        <is>
          <t>PG</t>
        </is>
      </c>
      <c r="D2" t="inlineStr">
        <is>
          <t>N/A</t>
        </is>
      </c>
      <c r="E2" t="n">
        <v>33</v>
      </c>
      <c r="F2" t="n">
        <v>1999</v>
      </c>
      <c r="G2" t="n">
        <v>2</v>
      </c>
      <c r="H2" t="n">
        <v>21</v>
      </c>
      <c r="J2" t="n">
        <v>1.9</v>
      </c>
      <c r="K2" t="n">
        <v>86</v>
      </c>
      <c r="L2" t="n">
        <v>82</v>
      </c>
      <c r="M2" t="n">
        <v>87</v>
      </c>
      <c r="N2" t="n">
        <v>94</v>
      </c>
      <c r="O2" t="n">
        <v>69</v>
      </c>
      <c r="P2" t="n">
        <v>93</v>
      </c>
      <c r="Q2" t="n">
        <v>66</v>
      </c>
      <c r="R2" t="n">
        <v>96</v>
      </c>
      <c r="S2" t="n">
        <v>92</v>
      </c>
      <c r="T2" t="n">
        <v>61</v>
      </c>
      <c r="U2" t="n">
        <v>56</v>
      </c>
      <c r="V2" t="n">
        <v>56</v>
      </c>
      <c r="W2" t="n">
        <v>95</v>
      </c>
      <c r="X2" t="n">
        <v>63</v>
      </c>
      <c r="Y2" t="n">
        <v>62</v>
      </c>
      <c r="Z2" t="n">
        <v>94</v>
      </c>
      <c r="AA2" t="n">
        <v>87</v>
      </c>
      <c r="AB2" t="n">
        <v>85</v>
      </c>
      <c r="AC2" t="n">
        <v>81</v>
      </c>
      <c r="AD2" t="n">
        <v>82</v>
      </c>
      <c r="AE2" t="n">
        <v>9058</v>
      </c>
      <c r="AF2" t="n">
        <v>2003902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Zach</t>
        </is>
      </c>
      <c r="B3" t="inlineStr">
        <is>
          <t>Jackson</t>
        </is>
      </c>
      <c r="C3" t="inlineStr">
        <is>
          <t>SF</t>
        </is>
      </c>
      <c r="D3" t="inlineStr">
        <is>
          <t>N/A</t>
        </is>
      </c>
      <c r="E3" t="n">
        <v>21</v>
      </c>
      <c r="F3" t="n">
        <v>1997</v>
      </c>
      <c r="G3" t="n">
        <v>8</v>
      </c>
      <c r="H3" t="n">
        <v>13</v>
      </c>
      <c r="J3" t="n">
        <v>1.98</v>
      </c>
      <c r="K3" t="n">
        <v>88</v>
      </c>
      <c r="L3" t="n">
        <v>88</v>
      </c>
      <c r="M3" t="n">
        <v>85</v>
      </c>
      <c r="N3" t="n">
        <v>85</v>
      </c>
      <c r="O3" t="n">
        <v>88</v>
      </c>
      <c r="P3" t="n">
        <v>92</v>
      </c>
      <c r="Q3" t="n">
        <v>78</v>
      </c>
      <c r="R3" t="n">
        <v>80</v>
      </c>
      <c r="S3" t="n">
        <v>74</v>
      </c>
      <c r="T3" t="n">
        <v>67</v>
      </c>
      <c r="U3" t="n">
        <v>75</v>
      </c>
      <c r="V3" t="n">
        <v>70</v>
      </c>
      <c r="W3" t="n">
        <v>77</v>
      </c>
      <c r="X3" t="n">
        <v>75</v>
      </c>
      <c r="Y3" t="n">
        <v>69</v>
      </c>
      <c r="Z3" t="n">
        <v>85</v>
      </c>
      <c r="AA3" t="n">
        <v>86</v>
      </c>
      <c r="AB3" t="n">
        <v>85</v>
      </c>
      <c r="AC3" t="n">
        <v>80</v>
      </c>
      <c r="AD3" t="n">
        <v>82</v>
      </c>
      <c r="AE3" t="n">
        <v>5139</v>
      </c>
      <c r="AF3" t="n">
        <v>2001580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Omar</t>
        </is>
      </c>
      <c r="B4" t="inlineStr">
        <is>
          <t>Pajic</t>
        </is>
      </c>
      <c r="C4" t="inlineStr">
        <is>
          <t>C</t>
        </is>
      </c>
      <c r="D4" t="inlineStr">
        <is>
          <t>N/A</t>
        </is>
      </c>
      <c r="E4" t="n">
        <v>29</v>
      </c>
      <c r="F4" t="n">
        <v>1999</v>
      </c>
      <c r="G4" t="n">
        <v>8</v>
      </c>
      <c r="H4" t="n">
        <v>24</v>
      </c>
      <c r="J4" t="n">
        <v>2.05</v>
      </c>
      <c r="K4" t="n">
        <v>105</v>
      </c>
      <c r="L4" t="n">
        <v>90</v>
      </c>
      <c r="M4" t="n">
        <v>73</v>
      </c>
      <c r="N4" t="n">
        <v>61</v>
      </c>
      <c r="O4" t="n">
        <v>69</v>
      </c>
      <c r="P4" t="n">
        <v>81</v>
      </c>
      <c r="Q4" t="n">
        <v>87</v>
      </c>
      <c r="R4" t="n">
        <v>59</v>
      </c>
      <c r="S4" t="n">
        <v>62</v>
      </c>
      <c r="T4" t="n">
        <v>84</v>
      </c>
      <c r="U4" t="n">
        <v>93</v>
      </c>
      <c r="V4" t="n">
        <v>88</v>
      </c>
      <c r="W4" t="n">
        <v>64</v>
      </c>
      <c r="X4" t="n">
        <v>95</v>
      </c>
      <c r="Y4" t="n">
        <v>94</v>
      </c>
      <c r="Z4" t="n">
        <v>58</v>
      </c>
      <c r="AA4" t="n">
        <v>88</v>
      </c>
      <c r="AB4" t="n">
        <v>93</v>
      </c>
      <c r="AC4" t="n">
        <v>73</v>
      </c>
      <c r="AD4" t="n">
        <v>76</v>
      </c>
      <c r="AE4" t="n">
        <v>9047</v>
      </c>
      <c r="AF4" t="n">
        <v>2003185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Daniel</t>
        </is>
      </c>
      <c r="B5" t="inlineStr">
        <is>
          <t>Kirchner</t>
        </is>
      </c>
      <c r="C5" t="inlineStr">
        <is>
          <t>PG</t>
        </is>
      </c>
      <c r="D5" t="inlineStr">
        <is>
          <t>N/A</t>
        </is>
      </c>
      <c r="E5" t="n">
        <v>4</v>
      </c>
      <c r="F5" t="n">
        <v>1997</v>
      </c>
      <c r="G5" t="n">
        <v>10</v>
      </c>
      <c r="H5" t="n">
        <v>26</v>
      </c>
      <c r="J5" t="n">
        <v>1.87</v>
      </c>
      <c r="K5" t="n">
        <v>83</v>
      </c>
      <c r="L5" t="n">
        <v>79</v>
      </c>
      <c r="M5" t="n">
        <v>84</v>
      </c>
      <c r="N5" t="n">
        <v>67</v>
      </c>
      <c r="O5" t="n">
        <v>69</v>
      </c>
      <c r="P5" t="n">
        <v>90</v>
      </c>
      <c r="Q5" t="n">
        <v>64</v>
      </c>
      <c r="R5" t="n">
        <v>98</v>
      </c>
      <c r="S5" t="n">
        <v>98</v>
      </c>
      <c r="T5" t="n">
        <v>59</v>
      </c>
      <c r="U5" t="n">
        <v>55</v>
      </c>
      <c r="V5" t="n">
        <v>55</v>
      </c>
      <c r="W5" t="n">
        <v>94</v>
      </c>
      <c r="X5" t="n">
        <v>59</v>
      </c>
      <c r="Y5" t="n">
        <v>59</v>
      </c>
      <c r="Z5" t="n">
        <v>95</v>
      </c>
      <c r="AA5" t="n">
        <v>86</v>
      </c>
      <c r="AB5" t="n">
        <v>81</v>
      </c>
      <c r="AC5" t="n">
        <v>79</v>
      </c>
      <c r="AD5" t="n">
        <v>79</v>
      </c>
      <c r="AE5" t="n">
        <v>5118</v>
      </c>
      <c r="AF5" t="n">
        <v>2001540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Mathis</t>
        </is>
      </c>
      <c r="B6" t="inlineStr">
        <is>
          <t>Mönninghoff</t>
        </is>
      </c>
      <c r="C6" t="inlineStr">
        <is>
          <t>SF</t>
        </is>
      </c>
      <c r="D6" t="inlineStr">
        <is>
          <t>N/A</t>
        </is>
      </c>
      <c r="E6" t="n">
        <v>17</v>
      </c>
      <c r="F6" t="n">
        <v>1992</v>
      </c>
      <c r="G6" t="n">
        <v>3</v>
      </c>
      <c r="H6" t="n">
        <v>17</v>
      </c>
      <c r="J6" t="n">
        <v>2</v>
      </c>
      <c r="K6" t="n">
        <v>91</v>
      </c>
      <c r="L6" t="n">
        <v>82</v>
      </c>
      <c r="M6" t="n">
        <v>82</v>
      </c>
      <c r="N6" t="n">
        <v>87</v>
      </c>
      <c r="O6" t="n">
        <v>90</v>
      </c>
      <c r="P6" t="n">
        <v>86</v>
      </c>
      <c r="Q6" t="n">
        <v>76</v>
      </c>
      <c r="R6" t="n">
        <v>85</v>
      </c>
      <c r="S6" t="n">
        <v>78</v>
      </c>
      <c r="T6" t="n">
        <v>64</v>
      </c>
      <c r="U6" t="n">
        <v>74</v>
      </c>
      <c r="V6" t="n">
        <v>69</v>
      </c>
      <c r="W6" t="n">
        <v>76</v>
      </c>
      <c r="X6" t="n">
        <v>71</v>
      </c>
      <c r="Y6" t="n">
        <v>69</v>
      </c>
      <c r="Z6" t="n">
        <v>79</v>
      </c>
      <c r="AA6" t="n">
        <v>82</v>
      </c>
      <c r="AB6" t="n">
        <v>81</v>
      </c>
      <c r="AC6" t="n">
        <v>82</v>
      </c>
      <c r="AD6" t="n">
        <v>85</v>
      </c>
      <c r="AE6" t="n">
        <v>5034</v>
      </c>
      <c r="AF6" t="n">
        <v>56406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Radvilas</t>
        </is>
      </c>
      <c r="B7" t="inlineStr">
        <is>
          <t>Kneizys</t>
        </is>
      </c>
      <c r="C7" t="inlineStr">
        <is>
          <t>SG</t>
        </is>
      </c>
      <c r="D7" t="inlineStr">
        <is>
          <t>N/A</t>
        </is>
      </c>
      <c r="E7" t="n">
        <v>9</v>
      </c>
      <c r="F7" t="n">
        <v>2003</v>
      </c>
      <c r="G7" t="n">
        <v>1</v>
      </c>
      <c r="H7" t="n">
        <v>23</v>
      </c>
      <c r="J7" t="n">
        <v>1.93</v>
      </c>
      <c r="K7" t="n">
        <v>86</v>
      </c>
      <c r="L7" t="n">
        <v>83</v>
      </c>
      <c r="M7" t="n">
        <v>86</v>
      </c>
      <c r="N7" t="n">
        <v>88</v>
      </c>
      <c r="O7" t="n">
        <v>86</v>
      </c>
      <c r="P7" t="n">
        <v>87</v>
      </c>
      <c r="Q7" t="n">
        <v>70</v>
      </c>
      <c r="R7" t="n">
        <v>85</v>
      </c>
      <c r="S7" t="n">
        <v>76</v>
      </c>
      <c r="T7" t="n">
        <v>62</v>
      </c>
      <c r="U7" t="n">
        <v>64</v>
      </c>
      <c r="V7" t="n">
        <v>64</v>
      </c>
      <c r="W7" t="n">
        <v>81</v>
      </c>
      <c r="X7" t="n">
        <v>59</v>
      </c>
      <c r="Y7" t="n">
        <v>66</v>
      </c>
      <c r="Z7" t="n">
        <v>89</v>
      </c>
      <c r="AA7" t="n">
        <v>86</v>
      </c>
      <c r="AB7" t="n">
        <v>80</v>
      </c>
      <c r="AC7" t="n">
        <v>79</v>
      </c>
      <c r="AD7" t="n">
        <v>81</v>
      </c>
      <c r="AE7" t="n">
        <v>9046</v>
      </c>
      <c r="AF7" t="n">
        <v>2003184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Robin</t>
        </is>
      </c>
      <c r="B8" t="inlineStr">
        <is>
          <t>Lodders</t>
        </is>
      </c>
      <c r="C8" t="inlineStr">
        <is>
          <t>PF</t>
        </is>
      </c>
      <c r="D8" t="inlineStr">
        <is>
          <t>N/A</t>
        </is>
      </c>
      <c r="E8" t="n">
        <v>11</v>
      </c>
      <c r="F8" t="n">
        <v>1994</v>
      </c>
      <c r="G8" t="n">
        <v>11</v>
      </c>
      <c r="H8" t="n">
        <v>30</v>
      </c>
      <c r="J8" t="n">
        <v>2.05</v>
      </c>
      <c r="K8" t="n">
        <v>108</v>
      </c>
      <c r="L8" t="n">
        <v>87</v>
      </c>
      <c r="M8" t="n">
        <v>73</v>
      </c>
      <c r="N8" t="n">
        <v>69</v>
      </c>
      <c r="O8" t="n">
        <v>69</v>
      </c>
      <c r="P8" t="n">
        <v>84</v>
      </c>
      <c r="Q8" t="n">
        <v>78</v>
      </c>
      <c r="R8" t="n">
        <v>64</v>
      </c>
      <c r="S8" t="n">
        <v>68</v>
      </c>
      <c r="T8" t="n">
        <v>79</v>
      </c>
      <c r="U8" t="n">
        <v>85</v>
      </c>
      <c r="V8" t="n">
        <v>76</v>
      </c>
      <c r="W8" t="n">
        <v>66</v>
      </c>
      <c r="X8" t="n">
        <v>87</v>
      </c>
      <c r="Y8" t="n">
        <v>70</v>
      </c>
      <c r="Z8" t="n">
        <v>62</v>
      </c>
      <c r="AA8" t="n">
        <v>80</v>
      </c>
      <c r="AB8" t="n">
        <v>86</v>
      </c>
      <c r="AC8" t="n">
        <v>75</v>
      </c>
      <c r="AD8" t="n">
        <v>78</v>
      </c>
      <c r="AE8" t="n">
        <v>5119</v>
      </c>
      <c r="AF8" t="n">
        <v>2001541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Nils Owen</t>
        </is>
      </c>
      <c r="B9" t="inlineStr">
        <is>
          <t>Schmitz</t>
        </is>
      </c>
      <c r="C9" t="inlineStr">
        <is>
          <t>PG</t>
        </is>
      </c>
      <c r="D9" t="inlineStr">
        <is>
          <t>N/A</t>
        </is>
      </c>
      <c r="E9" t="n">
        <v>0</v>
      </c>
      <c r="F9" t="n">
        <v>2001</v>
      </c>
      <c r="G9" t="n">
        <v>6</v>
      </c>
      <c r="H9" t="n">
        <v>14</v>
      </c>
      <c r="J9" t="n">
        <v>1.88</v>
      </c>
      <c r="K9" t="n">
        <v>85</v>
      </c>
      <c r="L9" t="n">
        <v>75</v>
      </c>
      <c r="M9" t="n">
        <v>80</v>
      </c>
      <c r="N9" t="n">
        <v>67</v>
      </c>
      <c r="O9" t="n">
        <v>60</v>
      </c>
      <c r="P9" t="n">
        <v>86</v>
      </c>
      <c r="Q9" t="n">
        <v>60</v>
      </c>
      <c r="R9" t="n">
        <v>91</v>
      </c>
      <c r="S9" t="n">
        <v>87</v>
      </c>
      <c r="T9" t="n">
        <v>55</v>
      </c>
      <c r="U9" t="n">
        <v>51</v>
      </c>
      <c r="V9" t="n">
        <v>51</v>
      </c>
      <c r="W9" t="n">
        <v>87</v>
      </c>
      <c r="X9" t="n">
        <v>55</v>
      </c>
      <c r="Y9" t="n">
        <v>55</v>
      </c>
      <c r="Z9" t="n">
        <v>89</v>
      </c>
      <c r="AA9" t="n">
        <v>82</v>
      </c>
      <c r="AB9" t="n">
        <v>77</v>
      </c>
      <c r="AC9" t="n">
        <v>74</v>
      </c>
      <c r="AD9" t="n">
        <v>76</v>
      </c>
      <c r="AE9" t="n">
        <v>5550</v>
      </c>
      <c r="AF9" t="n">
        <v>2001992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Zachary Richard</t>
        </is>
      </c>
      <c r="B10" t="inlineStr">
        <is>
          <t>Watson</t>
        </is>
      </c>
      <c r="C10" t="inlineStr">
        <is>
          <t>PF</t>
        </is>
      </c>
      <c r="D10" t="inlineStr">
        <is>
          <t>N/A</t>
        </is>
      </c>
      <c r="E10" t="n">
        <v>2</v>
      </c>
      <c r="F10" t="n">
        <v>2000</v>
      </c>
      <c r="G10" t="n">
        <v>2</v>
      </c>
      <c r="H10" t="n">
        <v>4</v>
      </c>
      <c r="J10" t="n">
        <v>2.01</v>
      </c>
      <c r="K10" t="n">
        <v>99</v>
      </c>
      <c r="L10" t="n">
        <v>80</v>
      </c>
      <c r="M10" t="n">
        <v>72</v>
      </c>
      <c r="N10" t="n">
        <v>75</v>
      </c>
      <c r="O10" t="n">
        <v>69</v>
      </c>
      <c r="P10" t="n">
        <v>77</v>
      </c>
      <c r="Q10" t="n">
        <v>77</v>
      </c>
      <c r="R10" t="n">
        <v>63</v>
      </c>
      <c r="S10" t="n">
        <v>65</v>
      </c>
      <c r="T10" t="n">
        <v>76</v>
      </c>
      <c r="U10" t="n">
        <v>81</v>
      </c>
      <c r="V10" t="n">
        <v>75</v>
      </c>
      <c r="W10" t="n">
        <v>65</v>
      </c>
      <c r="X10" t="n">
        <v>83</v>
      </c>
      <c r="Y10" t="n">
        <v>69</v>
      </c>
      <c r="Z10" t="n">
        <v>67</v>
      </c>
      <c r="AA10" t="n">
        <v>82</v>
      </c>
      <c r="AB10" t="n">
        <v>82</v>
      </c>
      <c r="AC10" t="n">
        <v>71</v>
      </c>
      <c r="AD10" t="n">
        <v>72</v>
      </c>
      <c r="AE10" t="n">
        <v>9045</v>
      </c>
      <c r="AF10" t="n">
        <v>2003183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Gaston</t>
        </is>
      </c>
      <c r="B11" t="inlineStr">
        <is>
          <t>Nguyen</t>
        </is>
      </c>
      <c r="C11" t="inlineStr">
        <is>
          <t>PG</t>
        </is>
      </c>
      <c r="D11" t="inlineStr">
        <is>
          <t>N/A</t>
        </is>
      </c>
      <c r="E11" t="n">
        <v>13</v>
      </c>
      <c r="F11" t="n">
        <v>2008</v>
      </c>
      <c r="G11" t="n">
        <v>3</v>
      </c>
      <c r="H11" t="n">
        <v>12</v>
      </c>
      <c r="J11" t="n">
        <v>1.83</v>
      </c>
      <c r="K11" t="n">
        <v>75</v>
      </c>
      <c r="L11" t="n">
        <v>71</v>
      </c>
      <c r="M11" t="n">
        <v>76</v>
      </c>
      <c r="N11" t="n">
        <v>60</v>
      </c>
      <c r="O11" t="n">
        <v>69</v>
      </c>
      <c r="P11" t="n">
        <v>83</v>
      </c>
      <c r="Q11" t="n">
        <v>57</v>
      </c>
      <c r="R11" t="n">
        <v>88</v>
      </c>
      <c r="S11" t="n">
        <v>81</v>
      </c>
      <c r="T11" t="n">
        <v>51</v>
      </c>
      <c r="U11" t="n">
        <v>50</v>
      </c>
      <c r="V11" t="n">
        <v>50</v>
      </c>
      <c r="W11" t="n">
        <v>87</v>
      </c>
      <c r="X11" t="n">
        <v>51</v>
      </c>
      <c r="Y11" t="n">
        <v>51</v>
      </c>
      <c r="Z11" t="n">
        <v>93</v>
      </c>
      <c r="AA11" t="n">
        <v>78</v>
      </c>
      <c r="AB11" t="n">
        <v>73</v>
      </c>
      <c r="AC11" t="n">
        <v>66</v>
      </c>
      <c r="AD11" t="n">
        <v>66</v>
      </c>
      <c r="AE11" t="n">
        <v>5089</v>
      </c>
      <c r="AF11" t="n">
        <v>2000803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Emil</t>
        </is>
      </c>
      <c r="B12" t="inlineStr">
        <is>
          <t>Bode</t>
        </is>
      </c>
      <c r="C12" t="inlineStr">
        <is>
          <t>SG</t>
        </is>
      </c>
      <c r="D12" t="inlineStr">
        <is>
          <t>N/A</t>
        </is>
      </c>
      <c r="E12" t="n">
        <v>5</v>
      </c>
      <c r="F12" t="n">
        <v>2006</v>
      </c>
      <c r="G12" t="n">
        <v>11</v>
      </c>
      <c r="H12" t="n">
        <v>7</v>
      </c>
      <c r="J12" t="n">
        <v>1.96</v>
      </c>
      <c r="K12" t="n">
        <v>92</v>
      </c>
      <c r="L12" t="n">
        <v>72</v>
      </c>
      <c r="M12" t="n">
        <v>75</v>
      </c>
      <c r="N12" t="n">
        <v>77</v>
      </c>
      <c r="O12" t="n">
        <v>77</v>
      </c>
      <c r="P12" t="n">
        <v>76</v>
      </c>
      <c r="Q12" t="n">
        <v>62</v>
      </c>
      <c r="R12" t="n">
        <v>76</v>
      </c>
      <c r="S12" t="n">
        <v>65</v>
      </c>
      <c r="T12" t="n">
        <v>52</v>
      </c>
      <c r="U12" t="n">
        <v>55</v>
      </c>
      <c r="V12" t="n">
        <v>55</v>
      </c>
      <c r="W12" t="n">
        <v>72</v>
      </c>
      <c r="X12" t="n">
        <v>50</v>
      </c>
      <c r="Y12" t="n">
        <v>55</v>
      </c>
      <c r="Z12" t="n">
        <v>84</v>
      </c>
      <c r="AA12" t="n">
        <v>77</v>
      </c>
      <c r="AB12" t="n">
        <v>71</v>
      </c>
      <c r="AC12" t="n">
        <v>65</v>
      </c>
      <c r="AD12" t="n">
        <v>65</v>
      </c>
      <c r="AE12" t="n">
        <v>5087</v>
      </c>
      <c r="AF12" t="n">
        <v>2000797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16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Dominic</t>
        </is>
      </c>
      <c r="B2" t="inlineStr">
        <is>
          <t>Parolin</t>
        </is>
      </c>
      <c r="C2" t="inlineStr">
        <is>
          <t>C</t>
        </is>
      </c>
      <c r="D2" t="inlineStr">
        <is>
          <t>N/A</t>
        </is>
      </c>
      <c r="E2" t="n">
        <v>9</v>
      </c>
      <c r="F2" t="n">
        <v>2002</v>
      </c>
      <c r="G2" t="n">
        <v>12</v>
      </c>
      <c r="H2" t="n">
        <v>14</v>
      </c>
      <c r="J2" t="n">
        <v>2.06</v>
      </c>
      <c r="K2" t="n">
        <v>111</v>
      </c>
      <c r="L2" t="n">
        <v>99</v>
      </c>
      <c r="M2" t="n">
        <v>76</v>
      </c>
      <c r="N2" t="n">
        <v>64</v>
      </c>
      <c r="O2" t="n">
        <v>77</v>
      </c>
      <c r="P2" t="n">
        <v>94</v>
      </c>
      <c r="Q2" t="n">
        <v>89</v>
      </c>
      <c r="R2" t="n">
        <v>60</v>
      </c>
      <c r="S2" t="n">
        <v>63</v>
      </c>
      <c r="T2" t="n">
        <v>90</v>
      </c>
      <c r="U2" t="n">
        <v>96</v>
      </c>
      <c r="V2" t="n">
        <v>92</v>
      </c>
      <c r="W2" t="n">
        <v>65</v>
      </c>
      <c r="X2" t="n">
        <v>96</v>
      </c>
      <c r="Y2" t="n">
        <v>98</v>
      </c>
      <c r="Z2" t="n">
        <v>59</v>
      </c>
      <c r="AA2" t="n">
        <v>89</v>
      </c>
      <c r="AB2" t="n">
        <v>94</v>
      </c>
      <c r="AC2" t="n">
        <v>74</v>
      </c>
      <c r="AD2" t="n">
        <v>79</v>
      </c>
      <c r="AE2" t="n">
        <v>9093</v>
      </c>
      <c r="AF2" t="n">
        <v>2004161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Garai</t>
        </is>
      </c>
      <c r="B3" t="inlineStr">
        <is>
          <t>Zeeb</t>
        </is>
      </c>
      <c r="C3" t="inlineStr">
        <is>
          <t>PG</t>
        </is>
      </c>
      <c r="D3" t="inlineStr">
        <is>
          <t>N/A</t>
        </is>
      </c>
      <c r="E3" t="n">
        <v>3</v>
      </c>
      <c r="F3" t="n">
        <v>1997</v>
      </c>
      <c r="G3" t="n">
        <v>4</v>
      </c>
      <c r="H3" t="n">
        <v>6</v>
      </c>
      <c r="J3" t="n">
        <v>1.87</v>
      </c>
      <c r="K3" t="n">
        <v>86</v>
      </c>
      <c r="L3" t="n">
        <v>82</v>
      </c>
      <c r="M3" t="n">
        <v>87</v>
      </c>
      <c r="N3" t="n">
        <v>67</v>
      </c>
      <c r="O3" t="n">
        <v>69</v>
      </c>
      <c r="P3" t="n">
        <v>93</v>
      </c>
      <c r="Q3" t="n">
        <v>66</v>
      </c>
      <c r="R3" t="n">
        <v>99</v>
      </c>
      <c r="S3" t="n">
        <v>99</v>
      </c>
      <c r="T3" t="n">
        <v>61</v>
      </c>
      <c r="U3" t="n">
        <v>56</v>
      </c>
      <c r="V3" t="n">
        <v>56</v>
      </c>
      <c r="W3" t="n">
        <v>99</v>
      </c>
      <c r="X3" t="n">
        <v>60</v>
      </c>
      <c r="Y3" t="n">
        <v>60</v>
      </c>
      <c r="Z3" t="n">
        <v>94</v>
      </c>
      <c r="AA3" t="n">
        <v>87</v>
      </c>
      <c r="AB3" t="n">
        <v>82</v>
      </c>
      <c r="AC3" t="n">
        <v>81</v>
      </c>
      <c r="AD3" t="n">
        <v>81</v>
      </c>
      <c r="AE3" t="n">
        <v>9040</v>
      </c>
      <c r="AF3" t="n">
        <v>2003165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Tyreese</t>
        </is>
      </c>
      <c r="B4" t="inlineStr">
        <is>
          <t>Blunt</t>
        </is>
      </c>
      <c r="C4" t="inlineStr">
        <is>
          <t>PG</t>
        </is>
      </c>
      <c r="D4" t="inlineStr">
        <is>
          <t>N/A</t>
        </is>
      </c>
      <c r="E4" t="n">
        <v>0</v>
      </c>
      <c r="F4" t="n">
        <v>2002</v>
      </c>
      <c r="G4" t="n">
        <v>6</v>
      </c>
      <c r="H4" t="n">
        <v>3</v>
      </c>
      <c r="J4" t="n">
        <v>1.9</v>
      </c>
      <c r="K4" t="n">
        <v>86</v>
      </c>
      <c r="L4" t="n">
        <v>81</v>
      </c>
      <c r="M4" t="n">
        <v>86</v>
      </c>
      <c r="N4" t="n">
        <v>67</v>
      </c>
      <c r="O4" t="n">
        <v>69</v>
      </c>
      <c r="P4" t="n">
        <v>92</v>
      </c>
      <c r="Q4" t="n">
        <v>65</v>
      </c>
      <c r="R4" t="n">
        <v>95</v>
      </c>
      <c r="S4" t="n">
        <v>91</v>
      </c>
      <c r="T4" t="n">
        <v>60</v>
      </c>
      <c r="U4" t="n">
        <v>55</v>
      </c>
      <c r="V4" t="n">
        <v>55</v>
      </c>
      <c r="W4" t="n">
        <v>91</v>
      </c>
      <c r="X4" t="n">
        <v>62</v>
      </c>
      <c r="Y4" t="n">
        <v>59</v>
      </c>
      <c r="Z4" t="n">
        <v>93</v>
      </c>
      <c r="AA4" t="n">
        <v>86</v>
      </c>
      <c r="AB4" t="n">
        <v>84</v>
      </c>
      <c r="AC4" t="n">
        <v>78</v>
      </c>
      <c r="AD4" t="n">
        <v>81</v>
      </c>
      <c r="AE4" t="n">
        <v>9091</v>
      </c>
      <c r="AF4" t="n">
        <v>2004159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Jeremiah</t>
        </is>
      </c>
      <c r="B5" t="inlineStr">
        <is>
          <t>Oden</t>
        </is>
      </c>
      <c r="C5" t="inlineStr">
        <is>
          <t>PF</t>
        </is>
      </c>
      <c r="D5" t="inlineStr">
        <is>
          <t>N/A</t>
        </is>
      </c>
      <c r="E5" t="n">
        <v>25</v>
      </c>
      <c r="F5" t="n">
        <v>2002</v>
      </c>
      <c r="G5" t="n">
        <v>2</v>
      </c>
      <c r="H5" t="n">
        <v>9</v>
      </c>
      <c r="J5" t="n">
        <v>2.03</v>
      </c>
      <c r="K5" t="n">
        <v>98</v>
      </c>
      <c r="L5" t="n">
        <v>92</v>
      </c>
      <c r="M5" t="n">
        <v>78</v>
      </c>
      <c r="N5" t="n">
        <v>86</v>
      </c>
      <c r="O5" t="n">
        <v>79</v>
      </c>
      <c r="P5" t="n">
        <v>89</v>
      </c>
      <c r="Q5" t="n">
        <v>82</v>
      </c>
      <c r="R5" t="n">
        <v>67</v>
      </c>
      <c r="S5" t="n">
        <v>69</v>
      </c>
      <c r="T5" t="n">
        <v>83</v>
      </c>
      <c r="U5" t="n">
        <v>85</v>
      </c>
      <c r="V5" t="n">
        <v>79</v>
      </c>
      <c r="W5" t="n">
        <v>69</v>
      </c>
      <c r="X5" t="n">
        <v>87</v>
      </c>
      <c r="Y5" t="n">
        <v>69</v>
      </c>
      <c r="Z5" t="n">
        <v>71</v>
      </c>
      <c r="AA5" t="n">
        <v>86</v>
      </c>
      <c r="AB5" t="n">
        <v>86</v>
      </c>
      <c r="AC5" t="n">
        <v>75</v>
      </c>
      <c r="AD5" t="n">
        <v>77</v>
      </c>
      <c r="AE5" t="n">
        <v>9094</v>
      </c>
      <c r="AF5" t="n">
        <v>2004162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Vincent</t>
        </is>
      </c>
      <c r="B6" t="inlineStr">
        <is>
          <t>Friederici</t>
        </is>
      </c>
      <c r="C6" t="inlineStr">
        <is>
          <t>SG</t>
        </is>
      </c>
      <c r="D6" t="inlineStr">
        <is>
          <t>N/A</t>
        </is>
      </c>
      <c r="E6" t="n">
        <v>30</v>
      </c>
      <c r="F6" t="n">
        <v>2001</v>
      </c>
      <c r="G6" t="n">
        <v>3</v>
      </c>
      <c r="H6" t="n">
        <v>30</v>
      </c>
      <c r="J6" t="n">
        <v>1.9</v>
      </c>
      <c r="K6" t="n">
        <v>86</v>
      </c>
      <c r="L6" t="n">
        <v>83</v>
      </c>
      <c r="M6" t="n">
        <v>86</v>
      </c>
      <c r="N6" t="n">
        <v>95</v>
      </c>
      <c r="O6" t="n">
        <v>94</v>
      </c>
      <c r="P6" t="n">
        <v>90</v>
      </c>
      <c r="Q6" t="n">
        <v>68</v>
      </c>
      <c r="R6" t="n">
        <v>87</v>
      </c>
      <c r="S6" t="n">
        <v>76</v>
      </c>
      <c r="T6" t="n">
        <v>62</v>
      </c>
      <c r="U6" t="n">
        <v>60</v>
      </c>
      <c r="V6" t="n">
        <v>60</v>
      </c>
      <c r="W6" t="n">
        <v>84</v>
      </c>
      <c r="X6" t="n">
        <v>59</v>
      </c>
      <c r="Y6" t="n">
        <v>64</v>
      </c>
      <c r="Z6" t="n">
        <v>91</v>
      </c>
      <c r="AA6" t="n">
        <v>86</v>
      </c>
      <c r="AB6" t="n">
        <v>80</v>
      </c>
      <c r="AC6" t="n">
        <v>79</v>
      </c>
      <c r="AD6" t="n">
        <v>81</v>
      </c>
      <c r="AE6" t="n">
        <v>9039</v>
      </c>
      <c r="AF6" t="n">
        <v>2003164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Hendrik</t>
        </is>
      </c>
      <c r="B7" t="inlineStr">
        <is>
          <t>Warner</t>
        </is>
      </c>
      <c r="C7" t="inlineStr">
        <is>
          <t>C</t>
        </is>
      </c>
      <c r="D7" t="inlineStr">
        <is>
          <t>N/A</t>
        </is>
      </c>
      <c r="E7" t="n">
        <v>31</v>
      </c>
      <c r="F7" t="n">
        <v>2002</v>
      </c>
      <c r="G7" t="n">
        <v>2</v>
      </c>
      <c r="H7" t="n">
        <v>22</v>
      </c>
      <c r="J7" t="n">
        <v>2.08</v>
      </c>
      <c r="K7" t="n">
        <v>106</v>
      </c>
      <c r="L7" t="n">
        <v>93</v>
      </c>
      <c r="M7" t="n">
        <v>70</v>
      </c>
      <c r="N7" t="n">
        <v>58</v>
      </c>
      <c r="O7" t="n">
        <v>60</v>
      </c>
      <c r="P7" t="n">
        <v>84</v>
      </c>
      <c r="Q7" t="n">
        <v>85</v>
      </c>
      <c r="R7" t="n">
        <v>58</v>
      </c>
      <c r="S7" t="n">
        <v>61</v>
      </c>
      <c r="T7" t="n">
        <v>84</v>
      </c>
      <c r="U7" t="n">
        <v>94</v>
      </c>
      <c r="V7" t="n">
        <v>90</v>
      </c>
      <c r="W7" t="n">
        <v>63</v>
      </c>
      <c r="X7" t="n">
        <v>91</v>
      </c>
      <c r="Y7" t="n">
        <v>73</v>
      </c>
      <c r="Z7" t="n">
        <v>57</v>
      </c>
      <c r="AA7" t="n">
        <v>87</v>
      </c>
      <c r="AB7" t="n">
        <v>89</v>
      </c>
      <c r="AC7" t="n">
        <v>71</v>
      </c>
      <c r="AD7" t="n">
        <v>74</v>
      </c>
      <c r="AE7" t="n">
        <v>5055</v>
      </c>
      <c r="AF7" t="n">
        <v>2000309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Carlos</t>
        </is>
      </c>
      <c r="B8" t="inlineStr">
        <is>
          <t>Carter</t>
        </is>
      </c>
      <c r="C8" t="inlineStr">
        <is>
          <t>SF</t>
        </is>
      </c>
      <c r="D8" t="inlineStr">
        <is>
          <t>N/A</t>
        </is>
      </c>
      <c r="E8" t="n">
        <v>6</v>
      </c>
      <c r="F8" t="n">
        <v>1999</v>
      </c>
      <c r="G8" t="n">
        <v>10</v>
      </c>
      <c r="H8" t="n">
        <v>28</v>
      </c>
      <c r="J8" t="n">
        <v>1.96</v>
      </c>
      <c r="K8" t="n">
        <v>90</v>
      </c>
      <c r="L8" t="n">
        <v>81</v>
      </c>
      <c r="M8" t="n">
        <v>81</v>
      </c>
      <c r="N8" t="n">
        <v>81</v>
      </c>
      <c r="O8" t="n">
        <v>69</v>
      </c>
      <c r="P8" t="n">
        <v>85</v>
      </c>
      <c r="Q8" t="n">
        <v>75</v>
      </c>
      <c r="R8" t="n">
        <v>78</v>
      </c>
      <c r="S8" t="n">
        <v>72</v>
      </c>
      <c r="T8" t="n">
        <v>63</v>
      </c>
      <c r="U8" t="n">
        <v>73</v>
      </c>
      <c r="V8" t="n">
        <v>68</v>
      </c>
      <c r="W8" t="n">
        <v>78</v>
      </c>
      <c r="X8" t="n">
        <v>70</v>
      </c>
      <c r="Y8" t="n">
        <v>69</v>
      </c>
      <c r="Z8" t="n">
        <v>83</v>
      </c>
      <c r="AA8" t="n">
        <v>84</v>
      </c>
      <c r="AB8" t="n">
        <v>80</v>
      </c>
      <c r="AC8" t="n">
        <v>79</v>
      </c>
      <c r="AD8" t="n">
        <v>79</v>
      </c>
      <c r="AE8" t="n">
        <v>5077</v>
      </c>
      <c r="AF8" t="n">
        <v>2000514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Jordan</t>
        </is>
      </c>
      <c r="B9" t="inlineStr">
        <is>
          <t>Samare</t>
        </is>
      </c>
      <c r="C9" t="inlineStr">
        <is>
          <t>PF</t>
        </is>
      </c>
      <c r="D9" t="inlineStr">
        <is>
          <t>N/A</t>
        </is>
      </c>
      <c r="E9" t="n">
        <v>4</v>
      </c>
      <c r="F9" t="n">
        <v>2002</v>
      </c>
      <c r="G9" t="n">
        <v>1</v>
      </c>
      <c r="H9" t="n">
        <v>12</v>
      </c>
      <c r="J9" t="n">
        <v>2.02</v>
      </c>
      <c r="K9" t="n">
        <v>95</v>
      </c>
      <c r="L9" t="n">
        <v>88</v>
      </c>
      <c r="M9" t="n">
        <v>74</v>
      </c>
      <c r="N9" t="n">
        <v>67</v>
      </c>
      <c r="O9" t="n">
        <v>69</v>
      </c>
      <c r="P9" t="n">
        <v>85</v>
      </c>
      <c r="Q9" t="n">
        <v>79</v>
      </c>
      <c r="R9" t="n">
        <v>65</v>
      </c>
      <c r="S9" t="n">
        <v>67</v>
      </c>
      <c r="T9" t="n">
        <v>80</v>
      </c>
      <c r="U9" t="n">
        <v>83</v>
      </c>
      <c r="V9" t="n">
        <v>77</v>
      </c>
      <c r="W9" t="n">
        <v>67</v>
      </c>
      <c r="X9" t="n">
        <v>88</v>
      </c>
      <c r="Y9" t="n">
        <v>69</v>
      </c>
      <c r="Z9" t="n">
        <v>69</v>
      </c>
      <c r="AA9" t="n">
        <v>84</v>
      </c>
      <c r="AB9" t="n">
        <v>87</v>
      </c>
      <c r="AC9" t="n">
        <v>73</v>
      </c>
      <c r="AD9" t="n">
        <v>74</v>
      </c>
      <c r="AE9" t="n">
        <v>5054</v>
      </c>
      <c r="AF9" t="n">
        <v>2000305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Corey</t>
        </is>
      </c>
      <c r="B10" t="inlineStr">
        <is>
          <t>McKeithan</t>
        </is>
      </c>
      <c r="C10" t="inlineStr">
        <is>
          <t>PG</t>
        </is>
      </c>
      <c r="D10" t="inlineStr">
        <is>
          <t>N/A</t>
        </is>
      </c>
      <c r="E10" t="n">
        <v>2</v>
      </c>
      <c r="F10" t="n">
        <v>2001</v>
      </c>
      <c r="G10" t="n">
        <v>8</v>
      </c>
      <c r="H10" t="n">
        <v>7</v>
      </c>
      <c r="J10" t="n">
        <v>1.83</v>
      </c>
      <c r="K10" t="n">
        <v>79</v>
      </c>
      <c r="L10" t="n">
        <v>77</v>
      </c>
      <c r="M10" t="n">
        <v>82</v>
      </c>
      <c r="N10" t="n">
        <v>60</v>
      </c>
      <c r="O10" t="n">
        <v>69</v>
      </c>
      <c r="P10" t="n">
        <v>89</v>
      </c>
      <c r="Q10" t="n">
        <v>61</v>
      </c>
      <c r="R10" t="n">
        <v>98</v>
      </c>
      <c r="S10" t="n">
        <v>90</v>
      </c>
      <c r="T10" t="n">
        <v>57</v>
      </c>
      <c r="U10" t="n">
        <v>51</v>
      </c>
      <c r="V10" t="n">
        <v>51</v>
      </c>
      <c r="W10" t="n">
        <v>93</v>
      </c>
      <c r="X10" t="n">
        <v>57</v>
      </c>
      <c r="Y10" t="n">
        <v>57</v>
      </c>
      <c r="Z10" t="n">
        <v>95</v>
      </c>
      <c r="AA10" t="n">
        <v>84</v>
      </c>
      <c r="AB10" t="n">
        <v>79</v>
      </c>
      <c r="AC10" t="n">
        <v>76</v>
      </c>
      <c r="AD10" t="n">
        <v>78</v>
      </c>
      <c r="AE10" t="n">
        <v>9183</v>
      </c>
      <c r="AF10" t="n">
        <v>2004975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Nolan</t>
        </is>
      </c>
      <c r="B11" t="inlineStr">
        <is>
          <t>Hodge</t>
        </is>
      </c>
      <c r="C11" t="inlineStr">
        <is>
          <t>SG</t>
        </is>
      </c>
      <c r="D11" t="inlineStr">
        <is>
          <t>N/A</t>
        </is>
      </c>
      <c r="E11" t="n">
        <v>32</v>
      </c>
      <c r="F11" t="n">
        <v>2004</v>
      </c>
      <c r="G11" t="n">
        <v>3</v>
      </c>
      <c r="H11" t="n">
        <v>2</v>
      </c>
      <c r="J11" t="n">
        <v>2.01</v>
      </c>
      <c r="K11" t="n">
        <v>86</v>
      </c>
      <c r="L11" t="n">
        <v>79</v>
      </c>
      <c r="M11" t="n">
        <v>82</v>
      </c>
      <c r="N11" t="n">
        <v>84</v>
      </c>
      <c r="O11" t="n">
        <v>84</v>
      </c>
      <c r="P11" t="n">
        <v>83</v>
      </c>
      <c r="Q11" t="n">
        <v>67</v>
      </c>
      <c r="R11" t="n">
        <v>81</v>
      </c>
      <c r="S11" t="n">
        <v>74</v>
      </c>
      <c r="T11" t="n">
        <v>59</v>
      </c>
      <c r="U11" t="n">
        <v>62</v>
      </c>
      <c r="V11" t="n">
        <v>62</v>
      </c>
      <c r="W11" t="n">
        <v>79</v>
      </c>
      <c r="X11" t="n">
        <v>60</v>
      </c>
      <c r="Y11" t="n">
        <v>64</v>
      </c>
      <c r="Z11" t="n">
        <v>85</v>
      </c>
      <c r="AA11" t="n">
        <v>84</v>
      </c>
      <c r="AB11" t="n">
        <v>81</v>
      </c>
      <c r="AC11" t="n">
        <v>77</v>
      </c>
      <c r="AD11" t="n">
        <v>78</v>
      </c>
      <c r="AE11" t="n">
        <v>9092</v>
      </c>
      <c r="AF11" t="n">
        <v>2004160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Benjamin</t>
        </is>
      </c>
      <c r="B12" t="inlineStr">
        <is>
          <t>Zintz</t>
        </is>
      </c>
      <c r="C12" t="inlineStr">
        <is>
          <t>SF</t>
        </is>
      </c>
      <c r="D12" t="inlineStr">
        <is>
          <t>N/A</t>
        </is>
      </c>
      <c r="E12" t="n">
        <v>5</v>
      </c>
      <c r="F12" t="n">
        <v>2007</v>
      </c>
      <c r="G12" t="n">
        <v>1</v>
      </c>
      <c r="H12" t="n">
        <v>31</v>
      </c>
      <c r="J12" t="n">
        <v>2.02</v>
      </c>
      <c r="K12" t="n">
        <v>94</v>
      </c>
      <c r="L12" t="n">
        <v>77</v>
      </c>
      <c r="M12" t="n">
        <v>77</v>
      </c>
      <c r="N12" t="n">
        <v>60</v>
      </c>
      <c r="O12" t="n">
        <v>60</v>
      </c>
      <c r="P12" t="n">
        <v>81</v>
      </c>
      <c r="Q12" t="n">
        <v>73</v>
      </c>
      <c r="R12" t="n">
        <v>72</v>
      </c>
      <c r="S12" t="n">
        <v>66</v>
      </c>
      <c r="T12" t="n">
        <v>59</v>
      </c>
      <c r="U12" t="n">
        <v>69</v>
      </c>
      <c r="V12" t="n">
        <v>64</v>
      </c>
      <c r="W12" t="n">
        <v>71</v>
      </c>
      <c r="X12" t="n">
        <v>66</v>
      </c>
      <c r="Y12" t="n">
        <v>66</v>
      </c>
      <c r="Z12" t="n">
        <v>81</v>
      </c>
      <c r="AA12" t="n">
        <v>80</v>
      </c>
      <c r="AB12" t="n">
        <v>76</v>
      </c>
      <c r="AC12" t="n">
        <v>69</v>
      </c>
      <c r="AD12" t="n">
        <v>69</v>
      </c>
      <c r="AE12" t="n">
        <v>5554</v>
      </c>
      <c r="AF12" t="n">
        <v>2002073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Alen</t>
        </is>
      </c>
      <c r="B13" t="inlineStr">
        <is>
          <t>Blakaj</t>
        </is>
      </c>
      <c r="C13" t="inlineStr">
        <is>
          <t>SF</t>
        </is>
      </c>
      <c r="D13" t="inlineStr">
        <is>
          <t>N/A</t>
        </is>
      </c>
      <c r="E13" t="n">
        <v>21</v>
      </c>
      <c r="F13" t="n">
        <v>2007</v>
      </c>
      <c r="G13" t="n">
        <v>6</v>
      </c>
      <c r="H13" t="n">
        <v>11</v>
      </c>
      <c r="J13" t="n">
        <v>2</v>
      </c>
      <c r="K13" t="n">
        <v>95</v>
      </c>
      <c r="L13" t="n">
        <v>76</v>
      </c>
      <c r="M13" t="n">
        <v>76</v>
      </c>
      <c r="N13" t="n">
        <v>67</v>
      </c>
      <c r="O13" t="n">
        <v>60</v>
      </c>
      <c r="P13" t="n">
        <v>80</v>
      </c>
      <c r="Q13" t="n">
        <v>72</v>
      </c>
      <c r="R13" t="n">
        <v>71</v>
      </c>
      <c r="S13" t="n">
        <v>65</v>
      </c>
      <c r="T13" t="n">
        <v>58</v>
      </c>
      <c r="U13" t="n">
        <v>70</v>
      </c>
      <c r="V13" t="n">
        <v>63</v>
      </c>
      <c r="W13" t="n">
        <v>70</v>
      </c>
      <c r="X13" t="n">
        <v>65</v>
      </c>
      <c r="Y13" t="n">
        <v>65</v>
      </c>
      <c r="Z13" t="n">
        <v>80</v>
      </c>
      <c r="AA13" t="n">
        <v>79</v>
      </c>
      <c r="AB13" t="n">
        <v>75</v>
      </c>
      <c r="AC13" t="n">
        <v>68</v>
      </c>
      <c r="AD13" t="n">
        <v>68</v>
      </c>
      <c r="AE13" t="n">
        <v>9182</v>
      </c>
      <c r="AF13" t="n">
        <v>2004971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  <row r="14">
      <c r="A14" t="inlineStr">
        <is>
          <t>Lukas</t>
        </is>
      </c>
      <c r="B14" t="inlineStr">
        <is>
          <t>Stelmokas</t>
        </is>
      </c>
      <c r="C14" t="inlineStr">
        <is>
          <t>C</t>
        </is>
      </c>
      <c r="D14" t="inlineStr">
        <is>
          <t>N/A</t>
        </is>
      </c>
      <c r="E14" t="n">
        <v>14</v>
      </c>
      <c r="F14" t="n">
        <v>2007</v>
      </c>
      <c r="G14" t="n">
        <v>11</v>
      </c>
      <c r="H14" t="n">
        <v>21</v>
      </c>
      <c r="J14" t="n">
        <v>2.04</v>
      </c>
      <c r="K14" t="n">
        <v>98</v>
      </c>
      <c r="L14" t="n">
        <v>92</v>
      </c>
      <c r="M14" t="n">
        <v>65</v>
      </c>
      <c r="N14" t="n">
        <v>53</v>
      </c>
      <c r="O14" t="n">
        <v>85</v>
      </c>
      <c r="P14" t="n">
        <v>83</v>
      </c>
      <c r="Q14" t="n">
        <v>82</v>
      </c>
      <c r="R14" t="n">
        <v>53</v>
      </c>
      <c r="S14" t="n">
        <v>54</v>
      </c>
      <c r="T14" t="n">
        <v>80</v>
      </c>
      <c r="U14" t="n">
        <v>84</v>
      </c>
      <c r="V14" t="n">
        <v>82</v>
      </c>
      <c r="W14" t="n">
        <v>58</v>
      </c>
      <c r="X14" t="n">
        <v>83</v>
      </c>
      <c r="Y14" t="n">
        <v>83</v>
      </c>
      <c r="Z14" t="n">
        <v>59</v>
      </c>
      <c r="AA14" t="n">
        <v>82</v>
      </c>
      <c r="AB14" t="n">
        <v>81</v>
      </c>
      <c r="AC14" t="n">
        <v>61</v>
      </c>
      <c r="AD14" t="n">
        <v>63</v>
      </c>
      <c r="AE14" t="n">
        <v>9034</v>
      </c>
      <c r="AF14" t="n">
        <v>2003110</v>
      </c>
      <c r="AG14">
        <f>IF(ISNA(MATCH($C14,'_Overall_Model'!$A$2:$A$6,0)),"",ROUND(SUMPRODUCT(L14:AD14,INDEX('_Overall_Model'!$B$2:$T$6,MATCH($C14,'_Overall_Model'!$A$2:$A$6,0),0))+INDEX('_Overall_Model'!$U$2:$U$6,MATCH($C14,'_Overall_Model'!$A$2:$A$6,0))+INDEX('_Overall_Model'!$V$2:$V$6,MATCH($C14,'_Overall_Model'!$A$2:$A$6,0))*IF(Q14&gt;=75,99,IF(Q14&gt;=60,50,0))+INDEX('_Overall_Model'!$W$2:$W$6,MATCH($C14,'_Overall_Model'!$A$2:$A$6,0))*J14+INDEX('_Overall_Model'!$X$2:$X$6,MATCH($C14,'_Overall_Model'!$A$2:$A$6,0))*K14,0))</f>
        <v/>
      </c>
    </row>
    <row r="15">
      <c r="A15" t="inlineStr">
        <is>
          <t>Anton</t>
        </is>
      </c>
      <c r="B15" t="inlineStr">
        <is>
          <t>Meyer</t>
        </is>
      </c>
      <c r="C15" t="inlineStr">
        <is>
          <t>SG</t>
        </is>
      </c>
      <c r="D15" t="inlineStr">
        <is>
          <t>N/A</t>
        </is>
      </c>
      <c r="E15" t="n">
        <v>19</v>
      </c>
      <c r="F15" t="n">
        <v>2005</v>
      </c>
      <c r="G15" t="n">
        <v>2</v>
      </c>
      <c r="H15" t="n">
        <v>22</v>
      </c>
      <c r="J15" t="n">
        <v>1.87</v>
      </c>
      <c r="K15" t="n">
        <v>79</v>
      </c>
      <c r="L15" t="n">
        <v>75</v>
      </c>
      <c r="M15" t="n">
        <v>78</v>
      </c>
      <c r="N15" t="n">
        <v>67</v>
      </c>
      <c r="O15" t="n">
        <v>60</v>
      </c>
      <c r="P15" t="n">
        <v>82</v>
      </c>
      <c r="Q15" t="n">
        <v>63</v>
      </c>
      <c r="R15" t="n">
        <v>81</v>
      </c>
      <c r="S15" t="n">
        <v>68</v>
      </c>
      <c r="T15" t="n">
        <v>55</v>
      </c>
      <c r="U15" t="n">
        <v>54</v>
      </c>
      <c r="V15" t="n">
        <v>54</v>
      </c>
      <c r="W15" t="n">
        <v>75</v>
      </c>
      <c r="X15" t="n">
        <v>53</v>
      </c>
      <c r="Y15" t="n">
        <v>58</v>
      </c>
      <c r="Z15" t="n">
        <v>91</v>
      </c>
      <c r="AA15" t="n">
        <v>80</v>
      </c>
      <c r="AB15" t="n">
        <v>74</v>
      </c>
      <c r="AC15" t="n">
        <v>68</v>
      </c>
      <c r="AD15" t="n">
        <v>68</v>
      </c>
      <c r="AE15" t="n">
        <v>5552</v>
      </c>
      <c r="AF15" t="n">
        <v>2002027</v>
      </c>
      <c r="AG15">
        <f>IF(ISNA(MATCH($C15,'_Overall_Model'!$A$2:$A$6,0)),"",ROUND(SUMPRODUCT(L15:AD15,INDEX('_Overall_Model'!$B$2:$T$6,MATCH($C15,'_Overall_Model'!$A$2:$A$6,0),0))+INDEX('_Overall_Model'!$U$2:$U$6,MATCH($C15,'_Overall_Model'!$A$2:$A$6,0))+INDEX('_Overall_Model'!$V$2:$V$6,MATCH($C15,'_Overall_Model'!$A$2:$A$6,0))*IF(Q15&gt;=75,99,IF(Q15&gt;=60,50,0))+INDEX('_Overall_Model'!$W$2:$W$6,MATCH($C15,'_Overall_Model'!$A$2:$A$6,0))*J15+INDEX('_Overall_Model'!$X$2:$X$6,MATCH($C15,'_Overall_Model'!$A$2:$A$6,0))*K15,0))</f>
        <v/>
      </c>
    </row>
    <row r="16">
      <c r="A16" t="inlineStr">
        <is>
          <t>Sami</t>
        </is>
      </c>
      <c r="B16" t="inlineStr">
        <is>
          <t>Jahan</t>
        </is>
      </c>
      <c r="C16" t="inlineStr">
        <is>
          <t>PG</t>
        </is>
      </c>
      <c r="D16" t="inlineStr">
        <is>
          <t>N/A</t>
        </is>
      </c>
      <c r="E16" t="n">
        <v>8</v>
      </c>
      <c r="F16" t="n">
        <v>2000</v>
      </c>
      <c r="G16" t="n">
        <v>6</v>
      </c>
      <c r="H16" t="n">
        <v>29</v>
      </c>
      <c r="J16" t="n">
        <v>1.85</v>
      </c>
      <c r="K16" t="n">
        <v>75</v>
      </c>
      <c r="L16" t="n">
        <v>72</v>
      </c>
      <c r="M16" t="n">
        <v>77</v>
      </c>
      <c r="N16" t="n">
        <v>72</v>
      </c>
      <c r="O16" t="n">
        <v>82</v>
      </c>
      <c r="P16" t="n">
        <v>83</v>
      </c>
      <c r="Q16" t="n">
        <v>57</v>
      </c>
      <c r="R16" t="n">
        <v>88</v>
      </c>
      <c r="S16" t="n">
        <v>84</v>
      </c>
      <c r="T16" t="n">
        <v>52</v>
      </c>
      <c r="U16" t="n">
        <v>50</v>
      </c>
      <c r="V16" t="n">
        <v>50</v>
      </c>
      <c r="W16" t="n">
        <v>84</v>
      </c>
      <c r="X16" t="n">
        <v>52</v>
      </c>
      <c r="Y16" t="n">
        <v>52</v>
      </c>
      <c r="Z16" t="n">
        <v>88</v>
      </c>
      <c r="AA16" t="n">
        <v>79</v>
      </c>
      <c r="AB16" t="n">
        <v>74</v>
      </c>
      <c r="AC16" t="n">
        <v>71</v>
      </c>
      <c r="AD16" t="n">
        <v>73</v>
      </c>
      <c r="AE16" t="n">
        <v>9127</v>
      </c>
      <c r="AF16" t="n">
        <v>2004268</v>
      </c>
      <c r="AG16">
        <f>IF(ISNA(MATCH($C16,'_Overall_Model'!$A$2:$A$6,0)),"",ROUND(SUMPRODUCT(L16:AD16,INDEX('_Overall_Model'!$B$2:$T$6,MATCH($C16,'_Overall_Model'!$A$2:$A$6,0),0))+INDEX('_Overall_Model'!$U$2:$U$6,MATCH($C16,'_Overall_Model'!$A$2:$A$6,0))+INDEX('_Overall_Model'!$V$2:$V$6,MATCH($C16,'_Overall_Model'!$A$2:$A$6,0))*IF(Q16&gt;=75,99,IF(Q16&gt;=60,50,0))+INDEX('_Overall_Model'!$W$2:$W$6,MATCH($C16,'_Overall_Model'!$A$2:$A$6,0))*J16+INDEX('_Overall_Model'!$X$2:$X$6,MATCH($C16,'_Overall_Model'!$A$2:$A$6,0))*K16,0)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15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Dragos-Andrej</t>
        </is>
      </c>
      <c r="B2" t="inlineStr">
        <is>
          <t>Diculescu</t>
        </is>
      </c>
      <c r="C2" t="inlineStr">
        <is>
          <t>SF</t>
        </is>
      </c>
      <c r="D2" t="inlineStr">
        <is>
          <t>N/A</t>
        </is>
      </c>
      <c r="E2" t="n">
        <v>31</v>
      </c>
      <c r="F2" t="n">
        <v>1999</v>
      </c>
      <c r="G2" t="n">
        <v>8</v>
      </c>
      <c r="H2" t="n">
        <v>25</v>
      </c>
      <c r="J2" t="n">
        <v>1.96</v>
      </c>
      <c r="K2" t="n">
        <v>98</v>
      </c>
      <c r="L2" t="n">
        <v>91</v>
      </c>
      <c r="M2" t="n">
        <v>88</v>
      </c>
      <c r="N2" t="n">
        <v>67</v>
      </c>
      <c r="O2" t="n">
        <v>69</v>
      </c>
      <c r="P2" t="n">
        <v>95</v>
      </c>
      <c r="Q2" t="n">
        <v>80</v>
      </c>
      <c r="R2" t="n">
        <v>82</v>
      </c>
      <c r="S2" t="n">
        <v>78</v>
      </c>
      <c r="T2" t="n">
        <v>70</v>
      </c>
      <c r="U2" t="n">
        <v>78</v>
      </c>
      <c r="V2" t="n">
        <v>71</v>
      </c>
      <c r="W2" t="n">
        <v>85</v>
      </c>
      <c r="X2" t="n">
        <v>76</v>
      </c>
      <c r="Y2" t="n">
        <v>78</v>
      </c>
      <c r="Z2" t="n">
        <v>86</v>
      </c>
      <c r="AA2" t="n">
        <v>87</v>
      </c>
      <c r="AB2" t="n">
        <v>86</v>
      </c>
      <c r="AC2" t="n">
        <v>84</v>
      </c>
      <c r="AD2" t="n">
        <v>84</v>
      </c>
      <c r="AE2" t="n">
        <v>9059</v>
      </c>
      <c r="AF2" t="n">
        <v>2003933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Chase</t>
        </is>
      </c>
      <c r="B3" t="inlineStr">
        <is>
          <t>Johnson</t>
        </is>
      </c>
      <c r="C3" t="inlineStr">
        <is>
          <t>PG</t>
        </is>
      </c>
      <c r="D3" t="inlineStr">
        <is>
          <t>N/A</t>
        </is>
      </c>
      <c r="E3" t="n">
        <v>15</v>
      </c>
      <c r="F3" t="n">
        <v>2001</v>
      </c>
      <c r="G3" t="n">
        <v>6</v>
      </c>
      <c r="H3" t="n">
        <v>18</v>
      </c>
      <c r="J3" t="n">
        <v>1.91</v>
      </c>
      <c r="K3" t="n">
        <v>89</v>
      </c>
      <c r="L3" t="n">
        <v>80</v>
      </c>
      <c r="M3" t="n">
        <v>85</v>
      </c>
      <c r="N3" t="n">
        <v>60</v>
      </c>
      <c r="O3" t="n">
        <v>60</v>
      </c>
      <c r="P3" t="n">
        <v>91</v>
      </c>
      <c r="Q3" t="n">
        <v>65</v>
      </c>
      <c r="R3" t="n">
        <v>99</v>
      </c>
      <c r="S3" t="n">
        <v>96</v>
      </c>
      <c r="T3" t="n">
        <v>60</v>
      </c>
      <c r="U3" t="n">
        <v>56</v>
      </c>
      <c r="V3" t="n">
        <v>56</v>
      </c>
      <c r="W3" t="n">
        <v>95</v>
      </c>
      <c r="X3" t="n">
        <v>60</v>
      </c>
      <c r="Y3" t="n">
        <v>62</v>
      </c>
      <c r="Z3" t="n">
        <v>94</v>
      </c>
      <c r="AA3" t="n">
        <v>87</v>
      </c>
      <c r="AB3" t="n">
        <v>82</v>
      </c>
      <c r="AC3" t="n">
        <v>81</v>
      </c>
      <c r="AD3" t="n">
        <v>80</v>
      </c>
      <c r="AE3" t="n">
        <v>9070</v>
      </c>
      <c r="AF3" t="n">
        <v>2003985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Tyren</t>
        </is>
      </c>
      <c r="B4" t="inlineStr">
        <is>
          <t>Moore</t>
        </is>
      </c>
      <c r="C4" t="inlineStr">
        <is>
          <t>PG</t>
        </is>
      </c>
      <c r="D4" t="inlineStr">
        <is>
          <t>N/A</t>
        </is>
      </c>
      <c r="E4" t="n">
        <v>5</v>
      </c>
      <c r="F4" t="n">
        <v>2001</v>
      </c>
      <c r="G4" t="n">
        <v>10</v>
      </c>
      <c r="H4" t="n">
        <v>3</v>
      </c>
      <c r="J4" t="n">
        <v>1.81</v>
      </c>
      <c r="K4" t="n">
        <v>84</v>
      </c>
      <c r="L4" t="n">
        <v>82</v>
      </c>
      <c r="M4" t="n">
        <v>87</v>
      </c>
      <c r="N4" t="n">
        <v>82</v>
      </c>
      <c r="O4" t="n">
        <v>90</v>
      </c>
      <c r="P4" t="n">
        <v>94</v>
      </c>
      <c r="Q4" t="n">
        <v>65</v>
      </c>
      <c r="R4" t="n">
        <v>98</v>
      </c>
      <c r="S4" t="n">
        <v>95</v>
      </c>
      <c r="T4" t="n">
        <v>61</v>
      </c>
      <c r="U4" t="n">
        <v>54</v>
      </c>
      <c r="V4" t="n">
        <v>54</v>
      </c>
      <c r="W4" t="n">
        <v>99</v>
      </c>
      <c r="X4" t="n">
        <v>60</v>
      </c>
      <c r="Y4" t="n">
        <v>62</v>
      </c>
      <c r="Z4" t="n">
        <v>98</v>
      </c>
      <c r="AA4" t="n">
        <v>87</v>
      </c>
      <c r="AB4" t="n">
        <v>82</v>
      </c>
      <c r="AC4" t="n">
        <v>81</v>
      </c>
      <c r="AD4" t="n">
        <v>81</v>
      </c>
      <c r="AE4" t="n">
        <v>9007</v>
      </c>
      <c r="AF4" t="n">
        <v>1400008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Camaron</t>
        </is>
      </c>
      <c r="B5" t="inlineStr">
        <is>
          <t>Tongue</t>
        </is>
      </c>
      <c r="C5" t="inlineStr">
        <is>
          <t>C</t>
        </is>
      </c>
      <c r="D5" t="inlineStr">
        <is>
          <t>N/A</t>
        </is>
      </c>
      <c r="E5" t="n">
        <v>21</v>
      </c>
      <c r="F5" t="n">
        <v>2001</v>
      </c>
      <c r="G5" t="n">
        <v>9</v>
      </c>
      <c r="H5" t="n">
        <v>26</v>
      </c>
      <c r="J5" t="n">
        <v>2.01</v>
      </c>
      <c r="K5" t="n">
        <v>108</v>
      </c>
      <c r="L5" t="n">
        <v>97</v>
      </c>
      <c r="M5" t="n">
        <v>74</v>
      </c>
      <c r="N5" t="n">
        <v>62</v>
      </c>
      <c r="O5" t="n">
        <v>60</v>
      </c>
      <c r="P5" t="n">
        <v>88</v>
      </c>
      <c r="Q5" t="n">
        <v>87</v>
      </c>
      <c r="R5" t="n">
        <v>57</v>
      </c>
      <c r="S5" t="n">
        <v>61</v>
      </c>
      <c r="T5" t="n">
        <v>87</v>
      </c>
      <c r="U5" t="n">
        <v>92</v>
      </c>
      <c r="V5" t="n">
        <v>87</v>
      </c>
      <c r="W5" t="n">
        <v>63</v>
      </c>
      <c r="X5" t="n">
        <v>91</v>
      </c>
      <c r="Y5" t="n">
        <v>70</v>
      </c>
      <c r="Z5" t="n">
        <v>57</v>
      </c>
      <c r="AA5" t="n">
        <v>87</v>
      </c>
      <c r="AB5" t="n">
        <v>89</v>
      </c>
      <c r="AC5" t="n">
        <v>71</v>
      </c>
      <c r="AD5" t="n">
        <v>76</v>
      </c>
      <c r="AE5" t="n">
        <v>9071</v>
      </c>
      <c r="AF5" t="n">
        <v>2003988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Jonas</t>
        </is>
      </c>
      <c r="B6" t="inlineStr">
        <is>
          <t>Niedermanner</t>
        </is>
      </c>
      <c r="C6" t="inlineStr">
        <is>
          <t>PF</t>
        </is>
      </c>
      <c r="D6" t="inlineStr">
        <is>
          <t>N/A</t>
        </is>
      </c>
      <c r="E6" t="n">
        <v>9</v>
      </c>
      <c r="F6" t="n">
        <v>1996</v>
      </c>
      <c r="G6" t="n">
        <v>12</v>
      </c>
      <c r="H6" t="n">
        <v>12</v>
      </c>
      <c r="J6" t="n">
        <v>2.05</v>
      </c>
      <c r="K6" t="n">
        <v>98</v>
      </c>
      <c r="L6" t="n">
        <v>83</v>
      </c>
      <c r="M6" t="n">
        <v>75</v>
      </c>
      <c r="N6" t="n">
        <v>67</v>
      </c>
      <c r="O6" t="n">
        <v>69</v>
      </c>
      <c r="P6" t="n">
        <v>80</v>
      </c>
      <c r="Q6" t="n">
        <v>80</v>
      </c>
      <c r="R6" t="n">
        <v>66</v>
      </c>
      <c r="S6" t="n">
        <v>70</v>
      </c>
      <c r="T6" t="n">
        <v>79</v>
      </c>
      <c r="U6" t="n">
        <v>84</v>
      </c>
      <c r="V6" t="n">
        <v>78</v>
      </c>
      <c r="W6" t="n">
        <v>68</v>
      </c>
      <c r="X6" t="n">
        <v>86</v>
      </c>
      <c r="Y6" t="n">
        <v>69</v>
      </c>
      <c r="Z6" t="n">
        <v>67</v>
      </c>
      <c r="AA6" t="n">
        <v>82</v>
      </c>
      <c r="AB6" t="n">
        <v>85</v>
      </c>
      <c r="AC6" t="n">
        <v>77</v>
      </c>
      <c r="AD6" t="n">
        <v>80</v>
      </c>
      <c r="AE6" t="n">
        <v>5503</v>
      </c>
      <c r="AF6" t="n">
        <v>2001760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Badu</t>
        </is>
      </c>
      <c r="B7" t="inlineStr">
        <is>
          <t>Buck</t>
        </is>
      </c>
      <c r="C7" t="inlineStr">
        <is>
          <t>SG</t>
        </is>
      </c>
      <c r="D7" t="inlineStr">
        <is>
          <t>N/A</t>
        </is>
      </c>
      <c r="E7" t="n">
        <v>2</v>
      </c>
      <c r="F7" t="n">
        <v>1999</v>
      </c>
      <c r="G7" t="n">
        <v>4</v>
      </c>
      <c r="H7" t="n">
        <v>5</v>
      </c>
      <c r="J7" t="n">
        <v>1.95</v>
      </c>
      <c r="K7" t="n">
        <v>86</v>
      </c>
      <c r="L7" t="n">
        <v>80</v>
      </c>
      <c r="M7" t="n">
        <v>83</v>
      </c>
      <c r="N7" t="n">
        <v>67</v>
      </c>
      <c r="O7" t="n">
        <v>90</v>
      </c>
      <c r="P7" t="n">
        <v>84</v>
      </c>
      <c r="Q7" t="n">
        <v>68</v>
      </c>
      <c r="R7" t="n">
        <v>84</v>
      </c>
      <c r="S7" t="n">
        <v>75</v>
      </c>
      <c r="T7" t="n">
        <v>60</v>
      </c>
      <c r="U7" t="n">
        <v>63</v>
      </c>
      <c r="V7" t="n">
        <v>63</v>
      </c>
      <c r="W7" t="n">
        <v>80</v>
      </c>
      <c r="X7" t="n">
        <v>58</v>
      </c>
      <c r="Y7" t="n">
        <v>63</v>
      </c>
      <c r="Z7" t="n">
        <v>88</v>
      </c>
      <c r="AA7" t="n">
        <v>85</v>
      </c>
      <c r="AB7" t="n">
        <v>79</v>
      </c>
      <c r="AC7" t="n">
        <v>77</v>
      </c>
      <c r="AD7" t="n">
        <v>79</v>
      </c>
      <c r="AE7" t="n">
        <v>5501</v>
      </c>
      <c r="AF7" t="n">
        <v>2001758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Jayden</t>
        </is>
      </c>
      <c r="B8" t="inlineStr">
        <is>
          <t>Williams</t>
        </is>
      </c>
      <c r="C8" t="inlineStr">
        <is>
          <t>SF</t>
        </is>
      </c>
      <c r="D8" t="inlineStr">
        <is>
          <t>N/A</t>
        </is>
      </c>
      <c r="E8" t="n">
        <v>7</v>
      </c>
      <c r="F8" t="n">
        <v>2004</v>
      </c>
      <c r="G8" t="n">
        <v>2</v>
      </c>
      <c r="H8" t="n">
        <v>8</v>
      </c>
      <c r="J8" t="n">
        <v>1.96</v>
      </c>
      <c r="K8" t="n">
        <v>89</v>
      </c>
      <c r="L8" t="n">
        <v>89</v>
      </c>
      <c r="M8" t="n">
        <v>83</v>
      </c>
      <c r="N8" t="n">
        <v>88</v>
      </c>
      <c r="O8" t="n">
        <v>89</v>
      </c>
      <c r="P8" t="n">
        <v>93</v>
      </c>
      <c r="Q8" t="n">
        <v>76</v>
      </c>
      <c r="R8" t="n">
        <v>78</v>
      </c>
      <c r="S8" t="n">
        <v>72</v>
      </c>
      <c r="T8" t="n">
        <v>66</v>
      </c>
      <c r="U8" t="n">
        <v>73</v>
      </c>
      <c r="V8" t="n">
        <v>68</v>
      </c>
      <c r="W8" t="n">
        <v>75</v>
      </c>
      <c r="X8" t="n">
        <v>70</v>
      </c>
      <c r="Y8" t="n">
        <v>70</v>
      </c>
      <c r="Z8" t="n">
        <v>83</v>
      </c>
      <c r="AA8" t="n">
        <v>84</v>
      </c>
      <c r="AB8" t="n">
        <v>80</v>
      </c>
      <c r="AC8" t="n">
        <v>77</v>
      </c>
      <c r="AD8" t="n">
        <v>80</v>
      </c>
      <c r="AE8" t="n">
        <v>9066</v>
      </c>
      <c r="AF8" t="n">
        <v>2003970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Marko</t>
        </is>
      </c>
      <c r="B9" t="inlineStr">
        <is>
          <t>Bacak</t>
        </is>
      </c>
      <c r="C9" t="inlineStr">
        <is>
          <t>C</t>
        </is>
      </c>
      <c r="D9" t="inlineStr">
        <is>
          <t>N/A</t>
        </is>
      </c>
      <c r="E9" t="n">
        <v>13</v>
      </c>
      <c r="F9" t="n">
        <v>1995</v>
      </c>
      <c r="G9" t="n">
        <v>11</v>
      </c>
      <c r="H9" t="n">
        <v>14</v>
      </c>
      <c r="J9" t="n">
        <v>2.1</v>
      </c>
      <c r="K9" t="n">
        <v>110</v>
      </c>
      <c r="L9" t="n">
        <v>86</v>
      </c>
      <c r="M9" t="n">
        <v>69</v>
      </c>
      <c r="N9" t="n">
        <v>60</v>
      </c>
      <c r="O9" t="n">
        <v>69</v>
      </c>
      <c r="P9" t="n">
        <v>77</v>
      </c>
      <c r="Q9" t="n">
        <v>86</v>
      </c>
      <c r="R9" t="n">
        <v>57</v>
      </c>
      <c r="S9" t="n">
        <v>62</v>
      </c>
      <c r="T9" t="n">
        <v>81</v>
      </c>
      <c r="U9" t="n">
        <v>95</v>
      </c>
      <c r="V9" t="n">
        <v>91</v>
      </c>
      <c r="W9" t="n">
        <v>62</v>
      </c>
      <c r="X9" t="n">
        <v>95</v>
      </c>
      <c r="Y9" t="n">
        <v>75</v>
      </c>
      <c r="Z9" t="n">
        <v>50</v>
      </c>
      <c r="AA9" t="n">
        <v>83</v>
      </c>
      <c r="AB9" t="n">
        <v>88</v>
      </c>
      <c r="AC9" t="n">
        <v>73</v>
      </c>
      <c r="AD9" t="n">
        <v>78</v>
      </c>
      <c r="AE9" t="n">
        <v>5505</v>
      </c>
      <c r="AF9" t="n">
        <v>2001774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Ferenc</t>
        </is>
      </c>
      <c r="B10" t="inlineStr">
        <is>
          <t>Gille</t>
        </is>
      </c>
      <c r="C10" t="inlineStr">
        <is>
          <t>C</t>
        </is>
      </c>
      <c r="D10" t="inlineStr">
        <is>
          <t>N/A</t>
        </is>
      </c>
      <c r="E10" t="n">
        <v>11</v>
      </c>
      <c r="F10" t="n">
        <v>1998</v>
      </c>
      <c r="G10" t="n">
        <v>8</v>
      </c>
      <c r="H10" t="n">
        <v>10</v>
      </c>
      <c r="J10" t="n">
        <v>2.03</v>
      </c>
      <c r="K10" t="n">
        <v>106</v>
      </c>
      <c r="L10" t="n">
        <v>92</v>
      </c>
      <c r="M10" t="n">
        <v>69</v>
      </c>
      <c r="N10" t="n">
        <v>70</v>
      </c>
      <c r="O10" t="n">
        <v>60</v>
      </c>
      <c r="P10" t="n">
        <v>83</v>
      </c>
      <c r="Q10" t="n">
        <v>84</v>
      </c>
      <c r="R10" t="n">
        <v>57</v>
      </c>
      <c r="S10" t="n">
        <v>60</v>
      </c>
      <c r="T10" t="n">
        <v>83</v>
      </c>
      <c r="U10" t="n">
        <v>91</v>
      </c>
      <c r="V10" t="n">
        <v>86</v>
      </c>
      <c r="W10" t="n">
        <v>62</v>
      </c>
      <c r="X10" t="n">
        <v>90</v>
      </c>
      <c r="Y10" t="n">
        <v>70</v>
      </c>
      <c r="Z10" t="n">
        <v>56</v>
      </c>
      <c r="AA10" t="n">
        <v>86</v>
      </c>
      <c r="AB10" t="n">
        <v>88</v>
      </c>
      <c r="AC10" t="n">
        <v>70</v>
      </c>
      <c r="AD10" t="n">
        <v>73</v>
      </c>
      <c r="AE10" t="n">
        <v>9060</v>
      </c>
      <c r="AF10" t="n">
        <v>2003934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Jannis</t>
        </is>
      </c>
      <c r="B11" t="inlineStr">
        <is>
          <t>Sonnefeld</t>
        </is>
      </c>
      <c r="C11" t="inlineStr">
        <is>
          <t>PF</t>
        </is>
      </c>
      <c r="D11" t="inlineStr">
        <is>
          <t>N/A</t>
        </is>
      </c>
      <c r="E11" t="n">
        <v>14</v>
      </c>
      <c r="F11" t="n">
        <v>2002</v>
      </c>
      <c r="G11" t="n">
        <v>8</v>
      </c>
      <c r="H11" t="n">
        <v>11</v>
      </c>
      <c r="J11" t="n">
        <v>2.07</v>
      </c>
      <c r="K11" t="n">
        <v>95</v>
      </c>
      <c r="L11" t="n">
        <v>82</v>
      </c>
      <c r="M11" t="n">
        <v>74</v>
      </c>
      <c r="N11" t="n">
        <v>67</v>
      </c>
      <c r="O11" t="n">
        <v>69</v>
      </c>
      <c r="P11" t="n">
        <v>79</v>
      </c>
      <c r="Q11" t="n">
        <v>79</v>
      </c>
      <c r="R11" t="n">
        <v>65</v>
      </c>
      <c r="S11" t="n">
        <v>67</v>
      </c>
      <c r="T11" t="n">
        <v>78</v>
      </c>
      <c r="U11" t="n">
        <v>85</v>
      </c>
      <c r="V11" t="n">
        <v>80</v>
      </c>
      <c r="W11" t="n">
        <v>67</v>
      </c>
      <c r="X11" t="n">
        <v>88</v>
      </c>
      <c r="Y11" t="n">
        <v>73</v>
      </c>
      <c r="Z11" t="n">
        <v>69</v>
      </c>
      <c r="AA11" t="n">
        <v>84</v>
      </c>
      <c r="AB11" t="n">
        <v>87</v>
      </c>
      <c r="AC11" t="n">
        <v>73</v>
      </c>
      <c r="AD11" t="n">
        <v>74</v>
      </c>
      <c r="AE11" t="n">
        <v>5504</v>
      </c>
      <c r="AF11" t="n">
        <v>2001764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Mason</t>
        </is>
      </c>
      <c r="B12" t="inlineStr">
        <is>
          <t>Kraus</t>
        </is>
      </c>
      <c r="C12" t="inlineStr">
        <is>
          <t>SG</t>
        </is>
      </c>
      <c r="D12" t="inlineStr">
        <is>
          <t>N/A</t>
        </is>
      </c>
      <c r="E12" t="n">
        <v>1</v>
      </c>
      <c r="F12" t="n">
        <v>2002</v>
      </c>
      <c r="G12" t="n">
        <v>3</v>
      </c>
      <c r="H12" t="n">
        <v>22</v>
      </c>
      <c r="J12" t="n">
        <v>1.91</v>
      </c>
      <c r="K12" t="n">
        <v>82</v>
      </c>
      <c r="L12" t="n">
        <v>79</v>
      </c>
      <c r="M12" t="n">
        <v>82</v>
      </c>
      <c r="N12" t="n">
        <v>67</v>
      </c>
      <c r="O12" t="n">
        <v>89</v>
      </c>
      <c r="P12" t="n">
        <v>86</v>
      </c>
      <c r="Q12" t="n">
        <v>65</v>
      </c>
      <c r="R12" t="n">
        <v>89</v>
      </c>
      <c r="S12" t="n">
        <v>75</v>
      </c>
      <c r="T12" t="n">
        <v>59</v>
      </c>
      <c r="U12" t="n">
        <v>58</v>
      </c>
      <c r="V12" t="n">
        <v>58</v>
      </c>
      <c r="W12" t="n">
        <v>79</v>
      </c>
      <c r="X12" t="n">
        <v>57</v>
      </c>
      <c r="Y12" t="n">
        <v>62</v>
      </c>
      <c r="Z12" t="n">
        <v>91</v>
      </c>
      <c r="AA12" t="n">
        <v>84</v>
      </c>
      <c r="AB12" t="n">
        <v>78</v>
      </c>
      <c r="AC12" t="n">
        <v>76</v>
      </c>
      <c r="AD12" t="n">
        <v>78</v>
      </c>
      <c r="AE12" t="n">
        <v>9065</v>
      </c>
      <c r="AF12" t="n">
        <v>2003969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Alexander</t>
        </is>
      </c>
      <c r="B13" t="inlineStr">
        <is>
          <t>Möller</t>
        </is>
      </c>
      <c r="C13" t="inlineStr">
        <is>
          <t>C</t>
        </is>
      </c>
      <c r="D13" t="inlineStr">
        <is>
          <t>N/A</t>
        </is>
      </c>
      <c r="E13" t="n">
        <v>22</v>
      </c>
      <c r="F13" t="n">
        <v>1998</v>
      </c>
      <c r="G13" t="n">
        <v>1</v>
      </c>
      <c r="H13" t="n">
        <v>22</v>
      </c>
      <c r="J13" t="n">
        <v>2.08</v>
      </c>
      <c r="K13" t="n">
        <v>116</v>
      </c>
      <c r="L13" t="n">
        <v>91</v>
      </c>
      <c r="M13" t="n">
        <v>68</v>
      </c>
      <c r="N13" t="n">
        <v>51</v>
      </c>
      <c r="O13" t="n">
        <v>60</v>
      </c>
      <c r="P13" t="n">
        <v>82</v>
      </c>
      <c r="Q13" t="n">
        <v>83</v>
      </c>
      <c r="R13" t="n">
        <v>56</v>
      </c>
      <c r="S13" t="n">
        <v>59</v>
      </c>
      <c r="T13" t="n">
        <v>82</v>
      </c>
      <c r="U13" t="n">
        <v>95</v>
      </c>
      <c r="V13" t="n">
        <v>88</v>
      </c>
      <c r="W13" t="n">
        <v>61</v>
      </c>
      <c r="X13" t="n">
        <v>89</v>
      </c>
      <c r="Y13" t="n">
        <v>89</v>
      </c>
      <c r="Z13" t="n">
        <v>52</v>
      </c>
      <c r="AA13" t="n">
        <v>85</v>
      </c>
      <c r="AB13" t="n">
        <v>87</v>
      </c>
      <c r="AC13" t="n">
        <v>68</v>
      </c>
      <c r="AD13" t="n">
        <v>72</v>
      </c>
      <c r="AE13" t="n">
        <v>5502</v>
      </c>
      <c r="AF13" t="n">
        <v>2001759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  <row r="14">
      <c r="A14" t="inlineStr">
        <is>
          <t>Ömer</t>
        </is>
      </c>
      <c r="B14" t="inlineStr">
        <is>
          <t>Girgin</t>
        </is>
      </c>
      <c r="C14" t="inlineStr">
        <is>
          <t>SF</t>
        </is>
      </c>
      <c r="D14" t="inlineStr">
        <is>
          <t>N/A</t>
        </is>
      </c>
      <c r="E14" t="n">
        <v>6</v>
      </c>
      <c r="F14" t="n">
        <v>2008</v>
      </c>
      <c r="G14" t="n">
        <v>5</v>
      </c>
      <c r="H14" t="n">
        <v>2</v>
      </c>
      <c r="J14" t="n">
        <v>2.05</v>
      </c>
      <c r="K14" t="n">
        <v>85</v>
      </c>
      <c r="L14" t="n">
        <v>74</v>
      </c>
      <c r="M14" t="n">
        <v>74</v>
      </c>
      <c r="N14" t="n">
        <v>67</v>
      </c>
      <c r="O14" t="n">
        <v>60</v>
      </c>
      <c r="P14" t="n">
        <v>78</v>
      </c>
      <c r="Q14" t="n">
        <v>70</v>
      </c>
      <c r="R14" t="n">
        <v>69</v>
      </c>
      <c r="S14" t="n">
        <v>63</v>
      </c>
      <c r="T14" t="n">
        <v>56</v>
      </c>
      <c r="U14" t="n">
        <v>66</v>
      </c>
      <c r="V14" t="n">
        <v>61</v>
      </c>
      <c r="W14" t="n">
        <v>68</v>
      </c>
      <c r="X14" t="n">
        <v>63</v>
      </c>
      <c r="Y14" t="n">
        <v>63</v>
      </c>
      <c r="Z14" t="n">
        <v>78</v>
      </c>
      <c r="AA14" t="n">
        <v>77</v>
      </c>
      <c r="AB14" t="n">
        <v>73</v>
      </c>
      <c r="AC14" t="n">
        <v>66</v>
      </c>
      <c r="AD14" t="n">
        <v>66</v>
      </c>
      <c r="AE14" t="n">
        <v>9105</v>
      </c>
      <c r="AF14" t="n">
        <v>2002957</v>
      </c>
      <c r="AG14">
        <f>IF(ISNA(MATCH($C14,'_Overall_Model'!$A$2:$A$6,0)),"",ROUND(SUMPRODUCT(L14:AD14,INDEX('_Overall_Model'!$B$2:$T$6,MATCH($C14,'_Overall_Model'!$A$2:$A$6,0),0))+INDEX('_Overall_Model'!$U$2:$U$6,MATCH($C14,'_Overall_Model'!$A$2:$A$6,0))+INDEX('_Overall_Model'!$V$2:$V$6,MATCH($C14,'_Overall_Model'!$A$2:$A$6,0))*IF(Q14&gt;=75,99,IF(Q14&gt;=60,50,0))+INDEX('_Overall_Model'!$W$2:$W$6,MATCH($C14,'_Overall_Model'!$A$2:$A$6,0))*J14+INDEX('_Overall_Model'!$X$2:$X$6,MATCH($C14,'_Overall_Model'!$A$2:$A$6,0))*K14,0))</f>
        <v/>
      </c>
    </row>
    <row r="15">
      <c r="A15" t="inlineStr">
        <is>
          <t>David Lars</t>
        </is>
      </c>
      <c r="B15" t="inlineStr">
        <is>
          <t>Gaspers</t>
        </is>
      </c>
      <c r="C15" t="inlineStr">
        <is>
          <t>SG</t>
        </is>
      </c>
      <c r="D15" t="inlineStr">
        <is>
          <t>N/A</t>
        </is>
      </c>
      <c r="E15" t="n">
        <v>17</v>
      </c>
      <c r="F15" t="n">
        <v>1999</v>
      </c>
      <c r="G15" t="n">
        <v>1</v>
      </c>
      <c r="H15" t="n">
        <v>21</v>
      </c>
      <c r="J15" t="n">
        <v>1.88</v>
      </c>
      <c r="K15" t="n">
        <v>85</v>
      </c>
      <c r="L15" t="n">
        <v>73</v>
      </c>
      <c r="M15" t="n">
        <v>76</v>
      </c>
      <c r="N15" t="n">
        <v>60</v>
      </c>
      <c r="O15" t="n">
        <v>60</v>
      </c>
      <c r="P15" t="n">
        <v>80</v>
      </c>
      <c r="Q15" t="n">
        <v>59</v>
      </c>
      <c r="R15" t="n">
        <v>79</v>
      </c>
      <c r="S15" t="n">
        <v>68</v>
      </c>
      <c r="T15" t="n">
        <v>53</v>
      </c>
      <c r="U15" t="n">
        <v>52</v>
      </c>
      <c r="V15" t="n">
        <v>52</v>
      </c>
      <c r="W15" t="n">
        <v>73</v>
      </c>
      <c r="X15" t="n">
        <v>51</v>
      </c>
      <c r="Y15" t="n">
        <v>56</v>
      </c>
      <c r="Z15" t="n">
        <v>83</v>
      </c>
      <c r="AA15" t="n">
        <v>78</v>
      </c>
      <c r="AB15" t="n">
        <v>72</v>
      </c>
      <c r="AC15" t="n">
        <v>70</v>
      </c>
      <c r="AD15" t="n">
        <v>72</v>
      </c>
      <c r="AE15" t="n">
        <v>5524</v>
      </c>
      <c r="AF15" t="n">
        <v>2001840</v>
      </c>
      <c r="AG15">
        <f>IF(ISNA(MATCH($C15,'_Overall_Model'!$A$2:$A$6,0)),"",ROUND(SUMPRODUCT(L15:AD15,INDEX('_Overall_Model'!$B$2:$T$6,MATCH($C15,'_Overall_Model'!$A$2:$A$6,0),0))+INDEX('_Overall_Model'!$U$2:$U$6,MATCH($C15,'_Overall_Model'!$A$2:$A$6,0))+INDEX('_Overall_Model'!$V$2:$V$6,MATCH($C15,'_Overall_Model'!$A$2:$A$6,0))*IF(Q15&gt;=75,99,IF(Q15&gt;=60,50,0))+INDEX('_Overall_Model'!$W$2:$W$6,MATCH($C15,'_Overall_Model'!$A$2:$A$6,0))*J15+INDEX('_Overall_Model'!$X$2:$X$6,MATCH($C15,'_Overall_Model'!$A$2:$A$6,0))*K15,0)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13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Quashawn Tyrese</t>
        </is>
      </c>
      <c r="B2" t="inlineStr">
        <is>
          <t>Lane</t>
        </is>
      </c>
      <c r="C2" t="inlineStr">
        <is>
          <t>PG</t>
        </is>
      </c>
      <c r="D2" t="inlineStr">
        <is>
          <t>N/A</t>
        </is>
      </c>
      <c r="E2" t="n">
        <v>4</v>
      </c>
      <c r="F2" t="n">
        <v>1999</v>
      </c>
      <c r="G2" t="n">
        <v>10</v>
      </c>
      <c r="H2" t="n">
        <v>28</v>
      </c>
      <c r="J2" t="n">
        <v>1.88</v>
      </c>
      <c r="K2" t="n">
        <v>82</v>
      </c>
      <c r="L2" t="n">
        <v>82</v>
      </c>
      <c r="M2" t="n">
        <v>87</v>
      </c>
      <c r="N2" t="n">
        <v>67</v>
      </c>
      <c r="O2" t="n">
        <v>95</v>
      </c>
      <c r="P2" t="n">
        <v>93</v>
      </c>
      <c r="Q2" t="n">
        <v>66</v>
      </c>
      <c r="R2" t="n">
        <v>99</v>
      </c>
      <c r="S2" t="n">
        <v>99</v>
      </c>
      <c r="T2" t="n">
        <v>61</v>
      </c>
      <c r="U2" t="n">
        <v>56</v>
      </c>
      <c r="V2" t="n">
        <v>56</v>
      </c>
      <c r="W2" t="n">
        <v>95</v>
      </c>
      <c r="X2" t="n">
        <v>60</v>
      </c>
      <c r="Y2" t="n">
        <v>62</v>
      </c>
      <c r="Z2" t="n">
        <v>96</v>
      </c>
      <c r="AA2" t="n">
        <v>87</v>
      </c>
      <c r="AB2" t="n">
        <v>82</v>
      </c>
      <c r="AC2" t="n">
        <v>81</v>
      </c>
      <c r="AD2" t="n">
        <v>81</v>
      </c>
      <c r="AE2" t="n">
        <v>9026</v>
      </c>
      <c r="AF2" t="n">
        <v>2001905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Darius</t>
        </is>
      </c>
      <c r="B3" t="inlineStr">
        <is>
          <t>Dawson</t>
        </is>
      </c>
      <c r="C3" t="inlineStr">
        <is>
          <t>SF</t>
        </is>
      </c>
      <c r="D3" t="inlineStr">
        <is>
          <t>N/A</t>
        </is>
      </c>
      <c r="E3" t="n">
        <v>13</v>
      </c>
      <c r="F3" t="n">
        <v>2001</v>
      </c>
      <c r="G3" t="n">
        <v>4</v>
      </c>
      <c r="H3" t="n">
        <v>19</v>
      </c>
      <c r="J3" t="n">
        <v>1.95</v>
      </c>
      <c r="K3" t="n">
        <v>98</v>
      </c>
      <c r="L3" t="n">
        <v>97</v>
      </c>
      <c r="M3" t="n">
        <v>87</v>
      </c>
      <c r="N3" t="n">
        <v>92</v>
      </c>
      <c r="O3" t="n">
        <v>88</v>
      </c>
      <c r="P3" t="n">
        <v>99</v>
      </c>
      <c r="Q3" t="n">
        <v>79</v>
      </c>
      <c r="R3" t="n">
        <v>79</v>
      </c>
      <c r="S3" t="n">
        <v>74</v>
      </c>
      <c r="T3" t="n">
        <v>71</v>
      </c>
      <c r="U3" t="n">
        <v>77</v>
      </c>
      <c r="V3" t="n">
        <v>70</v>
      </c>
      <c r="W3" t="n">
        <v>80</v>
      </c>
      <c r="X3" t="n">
        <v>75</v>
      </c>
      <c r="Y3" t="n">
        <v>77</v>
      </c>
      <c r="Z3" t="n">
        <v>85</v>
      </c>
      <c r="AA3" t="n">
        <v>86</v>
      </c>
      <c r="AB3" t="n">
        <v>85</v>
      </c>
      <c r="AC3" t="n">
        <v>82</v>
      </c>
      <c r="AD3" t="n">
        <v>83</v>
      </c>
      <c r="AE3" t="n">
        <v>9163</v>
      </c>
      <c r="AF3" t="n">
        <v>2004674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JJ</t>
        </is>
      </c>
      <c r="B4" t="inlineStr">
        <is>
          <t>Mann</t>
        </is>
      </c>
      <c r="C4" t="inlineStr">
        <is>
          <t>PF</t>
        </is>
      </c>
      <c r="D4" t="inlineStr">
        <is>
          <t>N/A</t>
        </is>
      </c>
      <c r="E4" t="n">
        <v>35</v>
      </c>
      <c r="F4" t="n">
        <v>1991</v>
      </c>
      <c r="G4" t="n">
        <v>6</v>
      </c>
      <c r="H4" t="n">
        <v>12</v>
      </c>
      <c r="J4" t="n">
        <v>1.96</v>
      </c>
      <c r="K4" t="n">
        <v>100</v>
      </c>
      <c r="L4" t="n">
        <v>87</v>
      </c>
      <c r="M4" t="n">
        <v>79</v>
      </c>
      <c r="N4" t="n">
        <v>87</v>
      </c>
      <c r="O4" t="n">
        <v>80</v>
      </c>
      <c r="P4" t="n">
        <v>84</v>
      </c>
      <c r="Q4" t="n">
        <v>83</v>
      </c>
      <c r="R4" t="n">
        <v>70</v>
      </c>
      <c r="S4" t="n">
        <v>73</v>
      </c>
      <c r="T4" t="n">
        <v>82</v>
      </c>
      <c r="U4" t="n">
        <v>86</v>
      </c>
      <c r="V4" t="n">
        <v>80</v>
      </c>
      <c r="W4" t="n">
        <v>73</v>
      </c>
      <c r="X4" t="n">
        <v>88</v>
      </c>
      <c r="Y4" t="n">
        <v>69</v>
      </c>
      <c r="Z4" t="n">
        <v>67</v>
      </c>
      <c r="AA4" t="n">
        <v>76</v>
      </c>
      <c r="AB4" t="n">
        <v>87</v>
      </c>
      <c r="AC4" t="n">
        <v>82</v>
      </c>
      <c r="AD4" t="n">
        <v>86</v>
      </c>
      <c r="AE4" t="n">
        <v>9162</v>
      </c>
      <c r="AF4" t="n">
        <v>2004673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Isaiah Jevon</t>
        </is>
      </c>
      <c r="B5" t="inlineStr">
        <is>
          <t>Sanders</t>
        </is>
      </c>
      <c r="C5" t="inlineStr">
        <is>
          <t>SG</t>
        </is>
      </c>
      <c r="D5" t="inlineStr">
        <is>
          <t>N/A</t>
        </is>
      </c>
      <c r="E5" t="n">
        <v>10</v>
      </c>
      <c r="F5" t="n">
        <v>2000</v>
      </c>
      <c r="G5" t="n">
        <v>3</v>
      </c>
      <c r="H5" t="n">
        <v>23</v>
      </c>
      <c r="J5" t="n">
        <v>1.94</v>
      </c>
      <c r="K5" t="n">
        <v>87</v>
      </c>
      <c r="L5" t="n">
        <v>82</v>
      </c>
      <c r="M5" t="n">
        <v>85</v>
      </c>
      <c r="N5" t="n">
        <v>94</v>
      </c>
      <c r="O5" t="n">
        <v>90</v>
      </c>
      <c r="P5" t="n">
        <v>86</v>
      </c>
      <c r="Q5" t="n">
        <v>69</v>
      </c>
      <c r="R5" t="n">
        <v>84</v>
      </c>
      <c r="S5" t="n">
        <v>75</v>
      </c>
      <c r="T5" t="n">
        <v>61</v>
      </c>
      <c r="U5" t="n">
        <v>63</v>
      </c>
      <c r="V5" t="n">
        <v>63</v>
      </c>
      <c r="W5" t="n">
        <v>83</v>
      </c>
      <c r="X5" t="n">
        <v>58</v>
      </c>
      <c r="Y5" t="n">
        <v>63</v>
      </c>
      <c r="Z5" t="n">
        <v>88</v>
      </c>
      <c r="AA5" t="n">
        <v>85</v>
      </c>
      <c r="AB5" t="n">
        <v>79</v>
      </c>
      <c r="AC5" t="n">
        <v>78</v>
      </c>
      <c r="AD5" t="n">
        <v>80</v>
      </c>
      <c r="AE5" t="n">
        <v>9164</v>
      </c>
      <c r="AF5" t="n">
        <v>2004675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Marc William</t>
        </is>
      </c>
      <c r="B6" t="inlineStr">
        <is>
          <t>Friederici</t>
        </is>
      </c>
      <c r="C6" t="inlineStr">
        <is>
          <t>PG</t>
        </is>
      </c>
      <c r="D6" t="inlineStr">
        <is>
          <t>N/A</t>
        </is>
      </c>
      <c r="E6" t="n">
        <v>30</v>
      </c>
      <c r="F6" t="n">
        <v>2001</v>
      </c>
      <c r="G6" t="n">
        <v>3</v>
      </c>
      <c r="H6" t="n">
        <v>30</v>
      </c>
      <c r="J6" t="n">
        <v>1.9</v>
      </c>
      <c r="K6" t="n">
        <v>84</v>
      </c>
      <c r="L6" t="n">
        <v>78</v>
      </c>
      <c r="M6" t="n">
        <v>83</v>
      </c>
      <c r="N6" t="n">
        <v>67</v>
      </c>
      <c r="O6" t="n">
        <v>93</v>
      </c>
      <c r="P6" t="n">
        <v>89</v>
      </c>
      <c r="Q6" t="n">
        <v>63</v>
      </c>
      <c r="R6" t="n">
        <v>94</v>
      </c>
      <c r="S6" t="n">
        <v>90</v>
      </c>
      <c r="T6" t="n">
        <v>58</v>
      </c>
      <c r="U6" t="n">
        <v>54</v>
      </c>
      <c r="V6" t="n">
        <v>54</v>
      </c>
      <c r="W6" t="n">
        <v>93</v>
      </c>
      <c r="X6" t="n">
        <v>61</v>
      </c>
      <c r="Y6" t="n">
        <v>58</v>
      </c>
      <c r="Z6" t="n">
        <v>94</v>
      </c>
      <c r="AA6" t="n">
        <v>85</v>
      </c>
      <c r="AB6" t="n">
        <v>83</v>
      </c>
      <c r="AC6" t="n">
        <v>78</v>
      </c>
      <c r="AD6" t="n">
        <v>79</v>
      </c>
      <c r="AE6" t="n">
        <v>9027</v>
      </c>
      <c r="AF6" t="n">
        <v>2001908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Craig</t>
        </is>
      </c>
      <c r="B7" t="inlineStr">
        <is>
          <t>Moller</t>
        </is>
      </c>
      <c r="C7" t="inlineStr">
        <is>
          <t>PF</t>
        </is>
      </c>
      <c r="D7" t="inlineStr">
        <is>
          <t>N/A</t>
        </is>
      </c>
      <c r="E7" t="n">
        <v>6</v>
      </c>
      <c r="F7" t="n">
        <v>1994</v>
      </c>
      <c r="G7" t="n">
        <v>8</v>
      </c>
      <c r="H7" t="n">
        <v>22</v>
      </c>
      <c r="J7" t="n">
        <v>2.03</v>
      </c>
      <c r="K7" t="n">
        <v>98</v>
      </c>
      <c r="L7" t="n">
        <v>82</v>
      </c>
      <c r="M7" t="n">
        <v>74</v>
      </c>
      <c r="N7" t="n">
        <v>77</v>
      </c>
      <c r="O7" t="n">
        <v>77</v>
      </c>
      <c r="P7" t="n">
        <v>79</v>
      </c>
      <c r="Q7" t="n">
        <v>79</v>
      </c>
      <c r="R7" t="n">
        <v>69</v>
      </c>
      <c r="S7" t="n">
        <v>70</v>
      </c>
      <c r="T7" t="n">
        <v>78</v>
      </c>
      <c r="U7" t="n">
        <v>83</v>
      </c>
      <c r="V7" t="n">
        <v>77</v>
      </c>
      <c r="W7" t="n">
        <v>67</v>
      </c>
      <c r="X7" t="n">
        <v>88</v>
      </c>
      <c r="Y7" t="n">
        <v>69</v>
      </c>
      <c r="Z7" t="n">
        <v>66</v>
      </c>
      <c r="AA7" t="n">
        <v>81</v>
      </c>
      <c r="AB7" t="n">
        <v>87</v>
      </c>
      <c r="AC7" t="n">
        <v>76</v>
      </c>
      <c r="AD7" t="n">
        <v>79</v>
      </c>
      <c r="AE7" t="n">
        <v>9165</v>
      </c>
      <c r="AF7" t="n">
        <v>2004677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Jonathan</t>
        </is>
      </c>
      <c r="B8" t="inlineStr">
        <is>
          <t>Almstedt</t>
        </is>
      </c>
      <c r="C8" t="inlineStr">
        <is>
          <t>C</t>
        </is>
      </c>
      <c r="D8" t="inlineStr">
        <is>
          <t>N/A</t>
        </is>
      </c>
      <c r="E8" t="n">
        <v>26</v>
      </c>
      <c r="F8" t="n">
        <v>1999</v>
      </c>
      <c r="G8" t="n">
        <v>8</v>
      </c>
      <c r="H8" t="n">
        <v>24</v>
      </c>
      <c r="J8" t="n">
        <v>2.08</v>
      </c>
      <c r="K8" t="n">
        <v>118</v>
      </c>
      <c r="L8" t="n">
        <v>86</v>
      </c>
      <c r="M8" t="n">
        <v>69</v>
      </c>
      <c r="N8" t="n">
        <v>60</v>
      </c>
      <c r="O8" t="n">
        <v>60</v>
      </c>
      <c r="P8" t="n">
        <v>77</v>
      </c>
      <c r="Q8" t="n">
        <v>84</v>
      </c>
      <c r="R8" t="n">
        <v>57</v>
      </c>
      <c r="S8" t="n">
        <v>60</v>
      </c>
      <c r="T8" t="n">
        <v>81</v>
      </c>
      <c r="U8" t="n">
        <v>96</v>
      </c>
      <c r="V8" t="n">
        <v>89</v>
      </c>
      <c r="W8" t="n">
        <v>62</v>
      </c>
      <c r="X8" t="n">
        <v>90</v>
      </c>
      <c r="Y8" t="n">
        <v>80</v>
      </c>
      <c r="Z8" t="n">
        <v>53</v>
      </c>
      <c r="AA8" t="n">
        <v>86</v>
      </c>
      <c r="AB8" t="n">
        <v>88</v>
      </c>
      <c r="AC8" t="n">
        <v>70</v>
      </c>
      <c r="AD8" t="n">
        <v>73</v>
      </c>
      <c r="AE8" t="n">
        <v>9028</v>
      </c>
      <c r="AF8" t="n">
        <v>2001911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Niclas Jonathan</t>
        </is>
      </c>
      <c r="B9" t="inlineStr">
        <is>
          <t>Sperber</t>
        </is>
      </c>
      <c r="C9" t="inlineStr">
        <is>
          <t>PF</t>
        </is>
      </c>
      <c r="D9" t="inlineStr">
        <is>
          <t>N/A</t>
        </is>
      </c>
      <c r="E9" t="n">
        <v>12</v>
      </c>
      <c r="F9" t="n">
        <v>1996</v>
      </c>
      <c r="G9" t="n">
        <v>3</v>
      </c>
      <c r="H9" t="n">
        <v>15</v>
      </c>
      <c r="J9" t="n">
        <v>2.03</v>
      </c>
      <c r="K9" t="n">
        <v>98</v>
      </c>
      <c r="L9" t="n">
        <v>82</v>
      </c>
      <c r="M9" t="n">
        <v>74</v>
      </c>
      <c r="N9" t="n">
        <v>67</v>
      </c>
      <c r="O9" t="n">
        <v>77</v>
      </c>
      <c r="P9" t="n">
        <v>79</v>
      </c>
      <c r="Q9" t="n">
        <v>79</v>
      </c>
      <c r="R9" t="n">
        <v>65</v>
      </c>
      <c r="S9" t="n">
        <v>69</v>
      </c>
      <c r="T9" t="n">
        <v>78</v>
      </c>
      <c r="U9" t="n">
        <v>83</v>
      </c>
      <c r="V9" t="n">
        <v>77</v>
      </c>
      <c r="W9" t="n">
        <v>67</v>
      </c>
      <c r="X9" t="n">
        <v>88</v>
      </c>
      <c r="Y9" t="n">
        <v>69</v>
      </c>
      <c r="Z9" t="n">
        <v>66</v>
      </c>
      <c r="AA9" t="n">
        <v>81</v>
      </c>
      <c r="AB9" t="n">
        <v>87</v>
      </c>
      <c r="AC9" t="n">
        <v>76</v>
      </c>
      <c r="AD9" t="n">
        <v>79</v>
      </c>
      <c r="AE9" t="n">
        <v>9019</v>
      </c>
      <c r="AF9" t="n">
        <v>2000441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Benjamin</t>
        </is>
      </c>
      <c r="B10" t="inlineStr">
        <is>
          <t>Uzoma</t>
        </is>
      </c>
      <c r="C10" t="inlineStr">
        <is>
          <t>C</t>
        </is>
      </c>
      <c r="D10" t="inlineStr">
        <is>
          <t>N/A</t>
        </is>
      </c>
      <c r="E10" t="n">
        <v>5</v>
      </c>
      <c r="F10" t="n">
        <v>1998</v>
      </c>
      <c r="G10" t="n">
        <v>11</v>
      </c>
      <c r="H10" t="n">
        <v>3</v>
      </c>
      <c r="J10" t="n">
        <v>2.1</v>
      </c>
      <c r="K10" t="n">
        <v>116</v>
      </c>
      <c r="L10" t="n">
        <v>91</v>
      </c>
      <c r="M10" t="n">
        <v>68</v>
      </c>
      <c r="N10" t="n">
        <v>56</v>
      </c>
      <c r="O10" t="n">
        <v>60</v>
      </c>
      <c r="P10" t="n">
        <v>82</v>
      </c>
      <c r="Q10" t="n">
        <v>85</v>
      </c>
      <c r="R10" t="n">
        <v>56</v>
      </c>
      <c r="S10" t="n">
        <v>59</v>
      </c>
      <c r="T10" t="n">
        <v>82</v>
      </c>
      <c r="U10" t="n">
        <v>99</v>
      </c>
      <c r="V10" t="n">
        <v>94</v>
      </c>
      <c r="W10" t="n">
        <v>61</v>
      </c>
      <c r="X10" t="n">
        <v>97</v>
      </c>
      <c r="Y10" t="n">
        <v>80</v>
      </c>
      <c r="Z10" t="n">
        <v>50</v>
      </c>
      <c r="AA10" t="n">
        <v>85</v>
      </c>
      <c r="AB10" t="n">
        <v>90</v>
      </c>
      <c r="AC10" t="n">
        <v>69</v>
      </c>
      <c r="AD10" t="n">
        <v>72</v>
      </c>
      <c r="AE10" t="n">
        <v>9018</v>
      </c>
      <c r="AF10" t="n">
        <v>2000439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Tre</t>
        </is>
      </c>
      <c r="B11" t="inlineStr">
        <is>
          <t>Beard</t>
        </is>
      </c>
      <c r="C11" t="inlineStr">
        <is>
          <t>PG</t>
        </is>
      </c>
      <c r="D11" t="inlineStr">
        <is>
          <t>N/A</t>
        </is>
      </c>
      <c r="E11" t="n">
        <v>3</v>
      </c>
      <c r="F11" t="n">
        <v>2001</v>
      </c>
      <c r="G11" t="n">
        <v>11</v>
      </c>
      <c r="H11" t="n">
        <v>9</v>
      </c>
      <c r="J11" t="n">
        <v>1.8</v>
      </c>
      <c r="K11" t="n">
        <v>72</v>
      </c>
      <c r="L11" t="n">
        <v>75</v>
      </c>
      <c r="M11" t="n">
        <v>80</v>
      </c>
      <c r="N11" t="n">
        <v>60</v>
      </c>
      <c r="O11" t="n">
        <v>93</v>
      </c>
      <c r="P11" t="n">
        <v>87</v>
      </c>
      <c r="Q11" t="n">
        <v>59</v>
      </c>
      <c r="R11" t="n">
        <v>99</v>
      </c>
      <c r="S11" t="n">
        <v>90</v>
      </c>
      <c r="T11" t="n">
        <v>55</v>
      </c>
      <c r="U11" t="n">
        <v>50</v>
      </c>
      <c r="V11" t="n">
        <v>50</v>
      </c>
      <c r="W11" t="n">
        <v>94</v>
      </c>
      <c r="X11" t="n">
        <v>55</v>
      </c>
      <c r="Y11" t="n">
        <v>55</v>
      </c>
      <c r="Z11" t="n">
        <v>95</v>
      </c>
      <c r="AA11" t="n">
        <v>82</v>
      </c>
      <c r="AB11" t="n">
        <v>77</v>
      </c>
      <c r="AC11" t="n">
        <v>75</v>
      </c>
      <c r="AD11" t="n">
        <v>76</v>
      </c>
      <c r="AE11" t="n">
        <v>9184</v>
      </c>
      <c r="AF11" t="n">
        <v>2004987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Jackson</t>
        </is>
      </c>
      <c r="B12" t="inlineStr">
        <is>
          <t>Price-Townsend</t>
        </is>
      </c>
      <c r="C12" t="inlineStr">
        <is>
          <t>PF</t>
        </is>
      </c>
      <c r="D12" t="inlineStr">
        <is>
          <t>N/A</t>
        </is>
      </c>
      <c r="E12" t="n">
        <v>24</v>
      </c>
      <c r="F12" t="n">
        <v>2003</v>
      </c>
      <c r="G12" t="n">
        <v>4</v>
      </c>
      <c r="H12" t="n">
        <v>24</v>
      </c>
      <c r="J12" t="n">
        <v>2.03</v>
      </c>
      <c r="K12" t="n">
        <v>108</v>
      </c>
      <c r="L12" t="n">
        <v>88</v>
      </c>
      <c r="M12" t="n">
        <v>70</v>
      </c>
      <c r="N12" t="n">
        <v>66</v>
      </c>
      <c r="O12" t="n">
        <v>60</v>
      </c>
      <c r="P12" t="n">
        <v>85</v>
      </c>
      <c r="Q12" t="n">
        <v>75</v>
      </c>
      <c r="R12" t="n">
        <v>61</v>
      </c>
      <c r="S12" t="n">
        <v>63</v>
      </c>
      <c r="T12" t="n">
        <v>77</v>
      </c>
      <c r="U12" t="n">
        <v>82</v>
      </c>
      <c r="V12" t="n">
        <v>73</v>
      </c>
      <c r="W12" t="n">
        <v>63</v>
      </c>
      <c r="X12" t="n">
        <v>81</v>
      </c>
      <c r="Y12" t="n">
        <v>79</v>
      </c>
      <c r="Z12" t="n">
        <v>62</v>
      </c>
      <c r="AA12" t="n">
        <v>80</v>
      </c>
      <c r="AB12" t="n">
        <v>80</v>
      </c>
      <c r="AC12" t="n">
        <v>68</v>
      </c>
      <c r="AD12" t="n">
        <v>70</v>
      </c>
      <c r="AE12" t="n">
        <v>9166</v>
      </c>
      <c r="AF12" t="n">
        <v>2004682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Ronney</t>
        </is>
      </c>
      <c r="B13" t="inlineStr">
        <is>
          <t>Ani</t>
        </is>
      </c>
      <c r="C13" t="inlineStr">
        <is>
          <t>PG</t>
        </is>
      </c>
      <c r="D13" t="inlineStr">
        <is>
          <t>N/A</t>
        </is>
      </c>
      <c r="E13" t="n">
        <v>1</v>
      </c>
      <c r="F13" t="n">
        <v>2006</v>
      </c>
      <c r="G13" t="n">
        <v>12</v>
      </c>
      <c r="H13" t="n">
        <v>20</v>
      </c>
      <c r="J13" t="n">
        <v>1.88</v>
      </c>
      <c r="K13" t="n">
        <v>90</v>
      </c>
      <c r="L13" t="n">
        <v>72</v>
      </c>
      <c r="M13" t="n">
        <v>77</v>
      </c>
      <c r="N13" t="n">
        <v>72</v>
      </c>
      <c r="O13" t="n">
        <v>82</v>
      </c>
      <c r="P13" t="n">
        <v>83</v>
      </c>
      <c r="Q13" t="n">
        <v>59</v>
      </c>
      <c r="R13" t="n">
        <v>88</v>
      </c>
      <c r="S13" t="n">
        <v>82</v>
      </c>
      <c r="T13" t="n">
        <v>52</v>
      </c>
      <c r="U13" t="n">
        <v>50</v>
      </c>
      <c r="V13" t="n">
        <v>50</v>
      </c>
      <c r="W13" t="n">
        <v>84</v>
      </c>
      <c r="X13" t="n">
        <v>52</v>
      </c>
      <c r="Y13" t="n">
        <v>52</v>
      </c>
      <c r="Z13" t="n">
        <v>90</v>
      </c>
      <c r="AA13" t="n">
        <v>79</v>
      </c>
      <c r="AB13" t="n">
        <v>74</v>
      </c>
      <c r="AC13" t="n">
        <v>67</v>
      </c>
      <c r="AD13" t="n">
        <v>67</v>
      </c>
      <c r="AE13" t="n">
        <v>9167</v>
      </c>
      <c r="AF13" t="n">
        <v>2004683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13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Zachery</t>
        </is>
      </c>
      <c r="B2" t="inlineStr">
        <is>
          <t>Cooks</t>
        </is>
      </c>
      <c r="C2" t="inlineStr">
        <is>
          <t>PG</t>
        </is>
      </c>
      <c r="D2" t="inlineStr">
        <is>
          <t>N/A</t>
        </is>
      </c>
      <c r="E2" t="n">
        <v>3</v>
      </c>
      <c r="F2" t="n">
        <v>1999</v>
      </c>
      <c r="G2" t="n">
        <v>3</v>
      </c>
      <c r="H2" t="n">
        <v>4</v>
      </c>
      <c r="J2" t="n">
        <v>1.8</v>
      </c>
      <c r="K2" t="n">
        <v>76</v>
      </c>
      <c r="L2" t="n">
        <v>84</v>
      </c>
      <c r="M2" t="n">
        <v>89</v>
      </c>
      <c r="N2" t="n">
        <v>67</v>
      </c>
      <c r="O2" t="n">
        <v>69</v>
      </c>
      <c r="P2" t="n">
        <v>96</v>
      </c>
      <c r="Q2" t="n">
        <v>66</v>
      </c>
      <c r="R2" t="n">
        <v>99</v>
      </c>
      <c r="S2" t="n">
        <v>96</v>
      </c>
      <c r="T2" t="n">
        <v>63</v>
      </c>
      <c r="U2" t="n">
        <v>54</v>
      </c>
      <c r="V2" t="n">
        <v>54</v>
      </c>
      <c r="W2" t="n">
        <v>99</v>
      </c>
      <c r="X2" t="n">
        <v>60</v>
      </c>
      <c r="Y2" t="n">
        <v>60</v>
      </c>
      <c r="Z2" t="n">
        <v>98</v>
      </c>
      <c r="AA2" t="n">
        <v>87</v>
      </c>
      <c r="AB2" t="n">
        <v>82</v>
      </c>
      <c r="AC2" t="n">
        <v>80</v>
      </c>
      <c r="AD2" t="n">
        <v>84</v>
      </c>
      <c r="AE2" t="n">
        <v>9144</v>
      </c>
      <c r="AF2" t="n">
        <v>2004462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Christopher</t>
        </is>
      </c>
      <c r="B3" t="inlineStr">
        <is>
          <t>Carter</t>
        </is>
      </c>
      <c r="C3" t="inlineStr">
        <is>
          <t>PG</t>
        </is>
      </c>
      <c r="D3" t="inlineStr">
        <is>
          <t>N/A</t>
        </is>
      </c>
      <c r="E3" t="n">
        <v>5</v>
      </c>
      <c r="F3" t="n">
        <v>1992</v>
      </c>
      <c r="G3" t="n">
        <v>5</v>
      </c>
      <c r="H3" t="n">
        <v>7</v>
      </c>
      <c r="J3" t="n">
        <v>1.93</v>
      </c>
      <c r="K3" t="n">
        <v>94</v>
      </c>
      <c r="L3" t="n">
        <v>81</v>
      </c>
      <c r="M3" t="n">
        <v>86</v>
      </c>
      <c r="N3" t="n">
        <v>67</v>
      </c>
      <c r="O3" t="n">
        <v>69</v>
      </c>
      <c r="P3" t="n">
        <v>89</v>
      </c>
      <c r="Q3" t="n">
        <v>67</v>
      </c>
      <c r="R3" t="n">
        <v>99</v>
      </c>
      <c r="S3" t="n">
        <v>99</v>
      </c>
      <c r="T3" t="n">
        <v>60</v>
      </c>
      <c r="U3" t="n">
        <v>59</v>
      </c>
      <c r="V3" t="n">
        <v>59</v>
      </c>
      <c r="W3" t="n">
        <v>94</v>
      </c>
      <c r="X3" t="n">
        <v>59</v>
      </c>
      <c r="Y3" t="n">
        <v>61</v>
      </c>
      <c r="Z3" t="n">
        <v>88</v>
      </c>
      <c r="AA3" t="n">
        <v>83</v>
      </c>
      <c r="AB3" t="n">
        <v>81</v>
      </c>
      <c r="AC3" t="n">
        <v>83</v>
      </c>
      <c r="AD3" t="n">
        <v>85</v>
      </c>
      <c r="AE3" t="n">
        <v>9143</v>
      </c>
      <c r="AF3" t="n">
        <v>2004461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Viktor</t>
        </is>
      </c>
      <c r="B4" t="inlineStr">
        <is>
          <t>Kovacevic</t>
        </is>
      </c>
      <c r="C4" t="inlineStr">
        <is>
          <t>PF</t>
        </is>
      </c>
      <c r="D4" t="inlineStr">
        <is>
          <t>N/A</t>
        </is>
      </c>
      <c r="E4" t="n">
        <v>25</v>
      </c>
      <c r="F4" t="n">
        <v>1999</v>
      </c>
      <c r="G4" t="n">
        <v>5</v>
      </c>
      <c r="H4" t="n">
        <v>5</v>
      </c>
      <c r="J4" t="n">
        <v>2.03</v>
      </c>
      <c r="K4" t="n">
        <v>100</v>
      </c>
      <c r="L4" t="n">
        <v>89</v>
      </c>
      <c r="M4" t="n">
        <v>78</v>
      </c>
      <c r="N4" t="n">
        <v>67</v>
      </c>
      <c r="O4" t="n">
        <v>60</v>
      </c>
      <c r="P4" t="n">
        <v>86</v>
      </c>
      <c r="Q4" t="n">
        <v>82</v>
      </c>
      <c r="R4" t="n">
        <v>67</v>
      </c>
      <c r="S4" t="n">
        <v>69</v>
      </c>
      <c r="T4" t="n">
        <v>82</v>
      </c>
      <c r="U4" t="n">
        <v>85</v>
      </c>
      <c r="V4" t="n">
        <v>79</v>
      </c>
      <c r="W4" t="n">
        <v>69</v>
      </c>
      <c r="X4" t="n">
        <v>90</v>
      </c>
      <c r="Y4" t="n">
        <v>90</v>
      </c>
      <c r="Z4" t="n">
        <v>71</v>
      </c>
      <c r="AA4" t="n">
        <v>86</v>
      </c>
      <c r="AB4" t="n">
        <v>89</v>
      </c>
      <c r="AC4" t="n">
        <v>76</v>
      </c>
      <c r="AD4" t="n">
        <v>77</v>
      </c>
      <c r="AE4" t="n">
        <v>9408</v>
      </c>
      <c r="AF4" t="n">
        <v>2003029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Robin</t>
        </is>
      </c>
      <c r="B5" t="inlineStr">
        <is>
          <t>Benzing</t>
        </is>
      </c>
      <c r="C5" t="inlineStr">
        <is>
          <t>SF</t>
        </is>
      </c>
      <c r="D5" t="inlineStr">
        <is>
          <t>N/A</t>
        </is>
      </c>
      <c r="E5" t="n">
        <v>12</v>
      </c>
      <c r="F5" t="n">
        <v>1989</v>
      </c>
      <c r="G5" t="n">
        <v>1</v>
      </c>
      <c r="H5" t="n">
        <v>25</v>
      </c>
      <c r="J5" t="n">
        <v>2.1</v>
      </c>
      <c r="K5" t="n">
        <v>108</v>
      </c>
      <c r="L5" t="n">
        <v>84</v>
      </c>
      <c r="M5" t="n">
        <v>84</v>
      </c>
      <c r="N5" t="n">
        <v>67</v>
      </c>
      <c r="O5" t="n">
        <v>87</v>
      </c>
      <c r="P5" t="n">
        <v>88</v>
      </c>
      <c r="Q5" t="n">
        <v>79</v>
      </c>
      <c r="R5" t="n">
        <v>81</v>
      </c>
      <c r="S5" t="n">
        <v>77</v>
      </c>
      <c r="T5" t="n">
        <v>65</v>
      </c>
      <c r="U5" t="n">
        <v>83</v>
      </c>
      <c r="V5" t="n">
        <v>80</v>
      </c>
      <c r="W5" t="n">
        <v>76</v>
      </c>
      <c r="X5" t="n">
        <v>76</v>
      </c>
      <c r="Y5" t="n">
        <v>76</v>
      </c>
      <c r="Z5" t="n">
        <v>62</v>
      </c>
      <c r="AA5" t="n">
        <v>74</v>
      </c>
      <c r="AB5" t="n">
        <v>81</v>
      </c>
      <c r="AC5" t="n">
        <v>83</v>
      </c>
      <c r="AD5" t="n">
        <v>89</v>
      </c>
      <c r="AE5" t="n">
        <v>5040</v>
      </c>
      <c r="AF5" t="n">
        <v>57676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Alexander</t>
        </is>
      </c>
      <c r="B6" t="inlineStr">
        <is>
          <t>Williams</t>
        </is>
      </c>
      <c r="C6" t="inlineStr">
        <is>
          <t>SF</t>
        </is>
      </c>
      <c r="D6" t="inlineStr">
        <is>
          <t>N/A</t>
        </is>
      </c>
      <c r="E6" t="n">
        <v>6</v>
      </c>
      <c r="F6" t="n">
        <v>2002</v>
      </c>
      <c r="G6" t="n">
        <v>7</v>
      </c>
      <c r="H6" t="n">
        <v>22</v>
      </c>
      <c r="J6" t="n">
        <v>1.96</v>
      </c>
      <c r="K6" t="n">
        <v>106</v>
      </c>
      <c r="L6" t="n">
        <v>82</v>
      </c>
      <c r="M6" t="n">
        <v>82</v>
      </c>
      <c r="N6" t="n">
        <v>75</v>
      </c>
      <c r="O6" t="n">
        <v>60</v>
      </c>
      <c r="P6" t="n">
        <v>86</v>
      </c>
      <c r="Q6" t="n">
        <v>76</v>
      </c>
      <c r="R6" t="n">
        <v>79</v>
      </c>
      <c r="S6" t="n">
        <v>73</v>
      </c>
      <c r="T6" t="n">
        <v>64</v>
      </c>
      <c r="U6" t="n">
        <v>79</v>
      </c>
      <c r="V6" t="n">
        <v>69</v>
      </c>
      <c r="W6" t="n">
        <v>76</v>
      </c>
      <c r="X6" t="n">
        <v>74</v>
      </c>
      <c r="Y6" t="n">
        <v>70</v>
      </c>
      <c r="Z6" t="n">
        <v>81</v>
      </c>
      <c r="AA6" t="n">
        <v>85</v>
      </c>
      <c r="AB6" t="n">
        <v>84</v>
      </c>
      <c r="AC6" t="n">
        <v>79</v>
      </c>
      <c r="AD6" t="n">
        <v>80</v>
      </c>
      <c r="AE6" t="n">
        <v>9146</v>
      </c>
      <c r="AF6" t="n">
        <v>2004464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Daniel Alexander</t>
        </is>
      </c>
      <c r="B7" t="inlineStr">
        <is>
          <t>Norl</t>
        </is>
      </c>
      <c r="C7" t="inlineStr">
        <is>
          <t>PG</t>
        </is>
      </c>
      <c r="D7" t="inlineStr">
        <is>
          <t>N/A</t>
        </is>
      </c>
      <c r="E7" t="n">
        <v>13</v>
      </c>
      <c r="F7" t="n">
        <v>1995</v>
      </c>
      <c r="G7" t="n">
        <v>3</v>
      </c>
      <c r="H7" t="n">
        <v>7</v>
      </c>
      <c r="J7" t="n">
        <v>1.84</v>
      </c>
      <c r="K7" t="n">
        <v>88</v>
      </c>
      <c r="L7" t="n">
        <v>78</v>
      </c>
      <c r="M7" t="n">
        <v>83</v>
      </c>
      <c r="N7" t="n">
        <v>67</v>
      </c>
      <c r="O7" t="n">
        <v>93</v>
      </c>
      <c r="P7" t="n">
        <v>90</v>
      </c>
      <c r="Q7" t="n">
        <v>62</v>
      </c>
      <c r="R7" t="n">
        <v>95</v>
      </c>
      <c r="S7" t="n">
        <v>92</v>
      </c>
      <c r="T7" t="n">
        <v>58</v>
      </c>
      <c r="U7" t="n">
        <v>52</v>
      </c>
      <c r="V7" t="n">
        <v>52</v>
      </c>
      <c r="W7" t="n">
        <v>94</v>
      </c>
      <c r="X7" t="n">
        <v>58</v>
      </c>
      <c r="Y7" t="n">
        <v>58</v>
      </c>
      <c r="Z7" t="n">
        <v>91</v>
      </c>
      <c r="AA7" t="n">
        <v>82</v>
      </c>
      <c r="AB7" t="n">
        <v>80</v>
      </c>
      <c r="AC7" t="n">
        <v>80</v>
      </c>
      <c r="AD7" t="n">
        <v>84</v>
      </c>
      <c r="AE7" t="n">
        <v>5135</v>
      </c>
      <c r="AF7" t="n">
        <v>2001575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Nigel</t>
        </is>
      </c>
      <c r="B8" t="inlineStr">
        <is>
          <t>Scantlebury</t>
        </is>
      </c>
      <c r="C8" t="inlineStr">
        <is>
          <t>PG</t>
        </is>
      </c>
      <c r="D8" t="inlineStr">
        <is>
          <t>N/A</t>
        </is>
      </c>
      <c r="E8" t="n">
        <v>1</v>
      </c>
      <c r="F8" t="n">
        <v>2000</v>
      </c>
      <c r="G8" t="n">
        <v>3</v>
      </c>
      <c r="H8" t="n">
        <v>10</v>
      </c>
      <c r="J8" t="n">
        <v>1.82</v>
      </c>
      <c r="K8" t="n">
        <v>79</v>
      </c>
      <c r="L8" t="n">
        <v>77</v>
      </c>
      <c r="M8" t="n">
        <v>82</v>
      </c>
      <c r="N8" t="n">
        <v>77</v>
      </c>
      <c r="O8" t="n">
        <v>69</v>
      </c>
      <c r="P8" t="n">
        <v>89</v>
      </c>
      <c r="Q8" t="n">
        <v>61</v>
      </c>
      <c r="R8" t="n">
        <v>93</v>
      </c>
      <c r="S8" t="n">
        <v>89</v>
      </c>
      <c r="T8" t="n">
        <v>57</v>
      </c>
      <c r="U8" t="n">
        <v>51</v>
      </c>
      <c r="V8" t="n">
        <v>51</v>
      </c>
      <c r="W8" t="n">
        <v>93</v>
      </c>
      <c r="X8" t="n">
        <v>57</v>
      </c>
      <c r="Y8" t="n">
        <v>57</v>
      </c>
      <c r="Z8" t="n">
        <v>95</v>
      </c>
      <c r="AA8" t="n">
        <v>84</v>
      </c>
      <c r="AB8" t="n">
        <v>79</v>
      </c>
      <c r="AC8" t="n">
        <v>76</v>
      </c>
      <c r="AD8" t="n">
        <v>77</v>
      </c>
      <c r="AE8" t="n">
        <v>9145</v>
      </c>
      <c r="AF8" t="n">
        <v>2004463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Till</t>
        </is>
      </c>
      <c r="B9" t="inlineStr">
        <is>
          <t>Gloger</t>
        </is>
      </c>
      <c r="C9" t="inlineStr">
        <is>
          <t>C</t>
        </is>
      </c>
      <c r="D9" t="inlineStr">
        <is>
          <t>N/A</t>
        </is>
      </c>
      <c r="E9" t="n">
        <v>18</v>
      </c>
      <c r="F9" t="n">
        <v>1993</v>
      </c>
      <c r="G9" t="n">
        <v>1</v>
      </c>
      <c r="H9" t="n">
        <v>26</v>
      </c>
      <c r="J9" t="n">
        <v>2.04</v>
      </c>
      <c r="K9" t="n">
        <v>105</v>
      </c>
      <c r="L9" t="n">
        <v>96</v>
      </c>
      <c r="M9" t="n">
        <v>69</v>
      </c>
      <c r="N9" t="n">
        <v>60</v>
      </c>
      <c r="O9" t="n">
        <v>69</v>
      </c>
      <c r="P9" t="n">
        <v>87</v>
      </c>
      <c r="Q9" t="n">
        <v>84</v>
      </c>
      <c r="R9" t="n">
        <v>57</v>
      </c>
      <c r="S9" t="n">
        <v>62</v>
      </c>
      <c r="T9" t="n">
        <v>84</v>
      </c>
      <c r="U9" t="n">
        <v>91</v>
      </c>
      <c r="V9" t="n">
        <v>86</v>
      </c>
      <c r="W9" t="n">
        <v>62</v>
      </c>
      <c r="X9" t="n">
        <v>90</v>
      </c>
      <c r="Y9" t="n">
        <v>87</v>
      </c>
      <c r="Z9" t="n">
        <v>53</v>
      </c>
      <c r="AA9" t="n">
        <v>83</v>
      </c>
      <c r="AB9" t="n">
        <v>88</v>
      </c>
      <c r="AC9" t="n">
        <v>72</v>
      </c>
      <c r="AD9" t="n">
        <v>78</v>
      </c>
      <c r="AE9" t="n">
        <v>5134</v>
      </c>
      <c r="AF9" t="n">
        <v>2001574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Luis Elias</t>
        </is>
      </c>
      <c r="B10" t="inlineStr">
        <is>
          <t>König Figge</t>
        </is>
      </c>
      <c r="C10" t="inlineStr">
        <is>
          <t>SG</t>
        </is>
      </c>
      <c r="D10" t="inlineStr">
        <is>
          <t>N/A</t>
        </is>
      </c>
      <c r="E10" t="n">
        <v>14</v>
      </c>
      <c r="F10" t="n">
        <v>1997</v>
      </c>
      <c r="G10" t="n">
        <v>6</v>
      </c>
      <c r="H10" t="n">
        <v>2</v>
      </c>
      <c r="J10" t="n">
        <v>1.97</v>
      </c>
      <c r="K10" t="n">
        <v>94</v>
      </c>
      <c r="L10" t="n">
        <v>78</v>
      </c>
      <c r="M10" t="n">
        <v>81</v>
      </c>
      <c r="N10" t="n">
        <v>67</v>
      </c>
      <c r="O10" t="n">
        <v>69</v>
      </c>
      <c r="P10" t="n">
        <v>82</v>
      </c>
      <c r="Q10" t="n">
        <v>66</v>
      </c>
      <c r="R10" t="n">
        <v>82</v>
      </c>
      <c r="S10" t="n">
        <v>73</v>
      </c>
      <c r="T10" t="n">
        <v>58</v>
      </c>
      <c r="U10" t="n">
        <v>61</v>
      </c>
      <c r="V10" t="n">
        <v>61</v>
      </c>
      <c r="W10" t="n">
        <v>78</v>
      </c>
      <c r="X10" t="n">
        <v>56</v>
      </c>
      <c r="Y10" t="n">
        <v>63</v>
      </c>
      <c r="Z10" t="n">
        <v>86</v>
      </c>
      <c r="AA10" t="n">
        <v>83</v>
      </c>
      <c r="AB10" t="n">
        <v>77</v>
      </c>
      <c r="AC10" t="n">
        <v>76</v>
      </c>
      <c r="AD10" t="n">
        <v>77</v>
      </c>
      <c r="AE10" t="n">
        <v>5023</v>
      </c>
      <c r="AF10" t="n">
        <v>6247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Kai</t>
        </is>
      </c>
      <c r="B11" t="inlineStr">
        <is>
          <t>Müsse</t>
        </is>
      </c>
      <c r="C11" t="inlineStr">
        <is>
          <t>C</t>
        </is>
      </c>
      <c r="D11" t="inlineStr">
        <is>
          <t>N/A</t>
        </is>
      </c>
      <c r="E11" t="n">
        <v>15</v>
      </c>
      <c r="F11" t="n">
        <v>2006</v>
      </c>
      <c r="G11" t="n">
        <v>7</v>
      </c>
      <c r="H11" t="n">
        <v>4</v>
      </c>
      <c r="J11" t="n">
        <v>2</v>
      </c>
      <c r="K11" t="n">
        <v>90</v>
      </c>
      <c r="L11" t="n">
        <v>90</v>
      </c>
      <c r="M11" t="n">
        <v>63</v>
      </c>
      <c r="N11" t="n">
        <v>51</v>
      </c>
      <c r="O11" t="n">
        <v>60</v>
      </c>
      <c r="P11" t="n">
        <v>81</v>
      </c>
      <c r="Q11" t="n">
        <v>80</v>
      </c>
      <c r="R11" t="n">
        <v>51</v>
      </c>
      <c r="S11" t="n">
        <v>52</v>
      </c>
      <c r="T11" t="n">
        <v>78</v>
      </c>
      <c r="U11" t="n">
        <v>80</v>
      </c>
      <c r="V11" t="n">
        <v>80</v>
      </c>
      <c r="W11" t="n">
        <v>56</v>
      </c>
      <c r="X11" t="n">
        <v>81</v>
      </c>
      <c r="Y11" t="n">
        <v>81</v>
      </c>
      <c r="Z11" t="n">
        <v>57</v>
      </c>
      <c r="AA11" t="n">
        <v>80</v>
      </c>
      <c r="AB11" t="n">
        <v>79</v>
      </c>
      <c r="AC11" t="n">
        <v>59</v>
      </c>
      <c r="AD11" t="n">
        <v>61</v>
      </c>
      <c r="AE11" t="n">
        <v>5092</v>
      </c>
      <c r="AF11" t="n">
        <v>2000861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Luca-Noel</t>
        </is>
      </c>
      <c r="B12" t="inlineStr">
        <is>
          <t>Nickel</t>
        </is>
      </c>
      <c r="C12" t="inlineStr">
        <is>
          <t>PG</t>
        </is>
      </c>
      <c r="D12" t="inlineStr">
        <is>
          <t>N/A</t>
        </is>
      </c>
      <c r="E12" t="n">
        <v>11</v>
      </c>
      <c r="F12" t="n">
        <v>2009</v>
      </c>
      <c r="G12" t="n">
        <v>2</v>
      </c>
      <c r="H12" t="n">
        <v>26</v>
      </c>
      <c r="J12" t="n">
        <v>1.83</v>
      </c>
      <c r="K12" t="n">
        <v>80</v>
      </c>
      <c r="L12" t="n">
        <v>71</v>
      </c>
      <c r="M12" t="n">
        <v>76</v>
      </c>
      <c r="N12" t="n">
        <v>71</v>
      </c>
      <c r="O12" t="n">
        <v>81</v>
      </c>
      <c r="P12" t="n">
        <v>83</v>
      </c>
      <c r="Q12" t="n">
        <v>57</v>
      </c>
      <c r="R12" t="n">
        <v>88</v>
      </c>
      <c r="S12" t="n">
        <v>81</v>
      </c>
      <c r="T12" t="n">
        <v>51</v>
      </c>
      <c r="U12" t="n">
        <v>50</v>
      </c>
      <c r="V12" t="n">
        <v>50</v>
      </c>
      <c r="W12" t="n">
        <v>87</v>
      </c>
      <c r="X12" t="n">
        <v>51</v>
      </c>
      <c r="Y12" t="n">
        <v>51</v>
      </c>
      <c r="Z12" t="n">
        <v>93</v>
      </c>
      <c r="AA12" t="n">
        <v>78</v>
      </c>
      <c r="AB12" t="n">
        <v>73</v>
      </c>
      <c r="AC12" t="n">
        <v>66</v>
      </c>
      <c r="AD12" t="n">
        <v>66</v>
      </c>
      <c r="AE12" t="n">
        <v>9157</v>
      </c>
      <c r="AF12" t="n">
        <v>2004603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Milan Elias</t>
        </is>
      </c>
      <c r="B13" t="inlineStr">
        <is>
          <t>Genius</t>
        </is>
      </c>
      <c r="C13" t="inlineStr">
        <is>
          <t>PG</t>
        </is>
      </c>
      <c r="D13" t="inlineStr">
        <is>
          <t>N/A</t>
        </is>
      </c>
      <c r="E13" t="n">
        <v>2</v>
      </c>
      <c r="F13" t="n">
        <v>2009</v>
      </c>
      <c r="G13" t="n">
        <v>4</v>
      </c>
      <c r="H13" t="n">
        <v>13</v>
      </c>
      <c r="J13" t="n">
        <v>1.83</v>
      </c>
      <c r="K13" t="n">
        <v>75</v>
      </c>
      <c r="L13" t="n">
        <v>71</v>
      </c>
      <c r="M13" t="n">
        <v>76</v>
      </c>
      <c r="N13" t="n">
        <v>71</v>
      </c>
      <c r="O13" t="n">
        <v>81</v>
      </c>
      <c r="P13" t="n">
        <v>83</v>
      </c>
      <c r="Q13" t="n">
        <v>57</v>
      </c>
      <c r="R13" t="n">
        <v>88</v>
      </c>
      <c r="S13" t="n">
        <v>81</v>
      </c>
      <c r="T13" t="n">
        <v>51</v>
      </c>
      <c r="U13" t="n">
        <v>50</v>
      </c>
      <c r="V13" t="n">
        <v>50</v>
      </c>
      <c r="W13" t="n">
        <v>87</v>
      </c>
      <c r="X13" t="n">
        <v>51</v>
      </c>
      <c r="Y13" t="n">
        <v>51</v>
      </c>
      <c r="Z13" t="n">
        <v>93</v>
      </c>
      <c r="AA13" t="n">
        <v>78</v>
      </c>
      <c r="AB13" t="n">
        <v>73</v>
      </c>
      <c r="AC13" t="n">
        <v>66</v>
      </c>
      <c r="AD13" t="n">
        <v>66</v>
      </c>
      <c r="AE13" t="n">
        <v>9159</v>
      </c>
      <c r="AF13" t="n">
        <v>2004605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5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Booker</t>
        </is>
      </c>
      <c r="B2" t="inlineStr">
        <is>
          <t>Coplin</t>
        </is>
      </c>
      <c r="C2" t="inlineStr">
        <is>
          <t>SG</t>
        </is>
      </c>
      <c r="D2" t="inlineStr">
        <is>
          <t>N/A</t>
        </is>
      </c>
      <c r="E2" t="n">
        <v>6</v>
      </c>
      <c r="F2" t="n">
        <v>1997</v>
      </c>
      <c r="G2" t="n">
        <v>11</v>
      </c>
      <c r="H2" t="n">
        <v>19</v>
      </c>
      <c r="J2" t="n">
        <v>1.91</v>
      </c>
      <c r="K2" t="n">
        <v>95</v>
      </c>
      <c r="L2" t="n">
        <v>85</v>
      </c>
      <c r="M2" t="n">
        <v>88</v>
      </c>
      <c r="N2" t="n">
        <v>67</v>
      </c>
      <c r="O2" t="n">
        <v>93</v>
      </c>
      <c r="P2" t="n">
        <v>92</v>
      </c>
      <c r="Q2" t="n">
        <v>70</v>
      </c>
      <c r="R2" t="n">
        <v>90</v>
      </c>
      <c r="S2" t="n">
        <v>81</v>
      </c>
      <c r="T2" t="n">
        <v>64</v>
      </c>
      <c r="U2" t="n">
        <v>64</v>
      </c>
      <c r="V2" t="n">
        <v>62</v>
      </c>
      <c r="W2" t="n">
        <v>90</v>
      </c>
      <c r="X2" t="n">
        <v>61</v>
      </c>
      <c r="Y2" t="n">
        <v>68</v>
      </c>
      <c r="Z2" t="n">
        <v>93</v>
      </c>
      <c r="AA2" t="n">
        <v>88</v>
      </c>
      <c r="AB2" t="n">
        <v>82</v>
      </c>
      <c r="AC2" t="n">
        <v>83</v>
      </c>
      <c r="AD2" t="n">
        <v>82</v>
      </c>
      <c r="AE2" t="n">
        <v>9057</v>
      </c>
      <c r="AF2" t="n">
        <v>2003864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Simon</t>
        </is>
      </c>
      <c r="B3" t="inlineStr">
        <is>
          <t>Krajcovic</t>
        </is>
      </c>
      <c r="C3" t="inlineStr">
        <is>
          <t>PG</t>
        </is>
      </c>
      <c r="D3" t="inlineStr">
        <is>
          <t>N/A</t>
        </is>
      </c>
      <c r="E3" t="n">
        <v>55</v>
      </c>
      <c r="F3" t="n">
        <v>1994</v>
      </c>
      <c r="G3" t="n">
        <v>2</v>
      </c>
      <c r="H3" t="n">
        <v>14</v>
      </c>
      <c r="J3" t="n">
        <v>1.88</v>
      </c>
      <c r="K3" t="n">
        <v>83</v>
      </c>
      <c r="L3" t="n">
        <v>80</v>
      </c>
      <c r="M3" t="n">
        <v>85</v>
      </c>
      <c r="N3" t="n">
        <v>67</v>
      </c>
      <c r="O3" t="n">
        <v>95</v>
      </c>
      <c r="P3" t="n">
        <v>91</v>
      </c>
      <c r="Q3" t="n">
        <v>65</v>
      </c>
      <c r="R3" t="n">
        <v>99</v>
      </c>
      <c r="S3" t="n">
        <v>99</v>
      </c>
      <c r="T3" t="n">
        <v>60</v>
      </c>
      <c r="U3" t="n">
        <v>56</v>
      </c>
      <c r="V3" t="n">
        <v>56</v>
      </c>
      <c r="W3" t="n">
        <v>92</v>
      </c>
      <c r="X3" t="n">
        <v>60</v>
      </c>
      <c r="Y3" t="n">
        <v>62</v>
      </c>
      <c r="Z3" t="n">
        <v>93</v>
      </c>
      <c r="AA3" t="n">
        <v>84</v>
      </c>
      <c r="AB3" t="n">
        <v>82</v>
      </c>
      <c r="AC3" t="n">
        <v>83</v>
      </c>
      <c r="AD3" t="n">
        <v>86</v>
      </c>
      <c r="AE3" t="n">
        <v>9043</v>
      </c>
      <c r="AF3" t="n">
        <v>2003170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Lucas</t>
        </is>
      </c>
      <c r="B4" t="inlineStr">
        <is>
          <t>Mayer</t>
        </is>
      </c>
      <c r="C4" t="inlineStr">
        <is>
          <t>SG</t>
        </is>
      </c>
      <c r="D4" t="inlineStr">
        <is>
          <t>N/A</t>
        </is>
      </c>
      <c r="E4" t="n">
        <v>8</v>
      </c>
      <c r="F4" t="n">
        <v>1999</v>
      </c>
      <c r="G4" t="n">
        <v>8</v>
      </c>
      <c r="H4" t="n">
        <v>30</v>
      </c>
      <c r="J4" t="n">
        <v>1.88</v>
      </c>
      <c r="K4" t="n">
        <v>89</v>
      </c>
      <c r="L4" t="n">
        <v>84</v>
      </c>
      <c r="M4" t="n">
        <v>87</v>
      </c>
      <c r="N4" t="n">
        <v>67</v>
      </c>
      <c r="O4" t="n">
        <v>69</v>
      </c>
      <c r="P4" t="n">
        <v>91</v>
      </c>
      <c r="Q4" t="n">
        <v>69</v>
      </c>
      <c r="R4" t="n">
        <v>87</v>
      </c>
      <c r="S4" t="n">
        <v>77</v>
      </c>
      <c r="T4" t="n">
        <v>63</v>
      </c>
      <c r="U4" t="n">
        <v>61</v>
      </c>
      <c r="V4" t="n">
        <v>61</v>
      </c>
      <c r="W4" t="n">
        <v>82</v>
      </c>
      <c r="X4" t="n">
        <v>60</v>
      </c>
      <c r="Y4" t="n">
        <v>67</v>
      </c>
      <c r="Z4" t="n">
        <v>92</v>
      </c>
      <c r="AA4" t="n">
        <v>87</v>
      </c>
      <c r="AB4" t="n">
        <v>81</v>
      </c>
      <c r="AC4" t="n">
        <v>80</v>
      </c>
      <c r="AD4" t="n">
        <v>81</v>
      </c>
      <c r="AE4" t="n">
        <v>9041</v>
      </c>
      <c r="AF4" t="n">
        <v>2003168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Marko</t>
        </is>
      </c>
      <c r="B5" t="inlineStr">
        <is>
          <t>Dordevic</t>
        </is>
      </c>
      <c r="C5" t="inlineStr">
        <is>
          <t>PF</t>
        </is>
      </c>
      <c r="D5" t="inlineStr">
        <is>
          <t>N/A</t>
        </is>
      </c>
      <c r="E5" t="n">
        <v>25</v>
      </c>
      <c r="F5" t="n">
        <v>2003</v>
      </c>
      <c r="G5" t="n">
        <v>2</v>
      </c>
      <c r="H5" t="n">
        <v>23</v>
      </c>
      <c r="J5" t="n">
        <v>2.01</v>
      </c>
      <c r="K5" t="n">
        <v>101</v>
      </c>
      <c r="L5" t="n">
        <v>84</v>
      </c>
      <c r="M5" t="n">
        <v>76</v>
      </c>
      <c r="N5" t="n">
        <v>72</v>
      </c>
      <c r="O5" t="n">
        <v>74</v>
      </c>
      <c r="P5" t="n">
        <v>81</v>
      </c>
      <c r="Q5" t="n">
        <v>81</v>
      </c>
      <c r="R5" t="n">
        <v>67</v>
      </c>
      <c r="S5" t="n">
        <v>69</v>
      </c>
      <c r="T5" t="n">
        <v>80</v>
      </c>
      <c r="U5" t="n">
        <v>85</v>
      </c>
      <c r="V5" t="n">
        <v>79</v>
      </c>
      <c r="W5" t="n">
        <v>69</v>
      </c>
      <c r="X5" t="n">
        <v>93</v>
      </c>
      <c r="Y5" t="n">
        <v>69</v>
      </c>
      <c r="Z5" t="n">
        <v>71</v>
      </c>
      <c r="AA5" t="n">
        <v>86</v>
      </c>
      <c r="AB5" t="n">
        <v>92</v>
      </c>
      <c r="AC5" t="n">
        <v>75</v>
      </c>
      <c r="AD5" t="n">
        <v>76</v>
      </c>
      <c r="AE5" t="n">
        <v>9196</v>
      </c>
      <c r="AF5" t="n">
        <v>2005213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Dylan</t>
        </is>
      </c>
      <c r="B6" t="inlineStr">
        <is>
          <t>Addae-Wusu</t>
        </is>
      </c>
      <c r="C6" t="inlineStr">
        <is>
          <t>SG</t>
        </is>
      </c>
      <c r="D6" t="inlineStr">
        <is>
          <t>N/A</t>
        </is>
      </c>
      <c r="E6" t="n">
        <v>7</v>
      </c>
      <c r="F6" t="n">
        <v>2001</v>
      </c>
      <c r="G6" t="n">
        <v>7</v>
      </c>
      <c r="H6" t="n">
        <v>17</v>
      </c>
      <c r="J6" t="n">
        <v>1.93</v>
      </c>
      <c r="K6" t="n">
        <v>108</v>
      </c>
      <c r="L6" t="n">
        <v>83</v>
      </c>
      <c r="M6" t="n">
        <v>86</v>
      </c>
      <c r="N6" t="n">
        <v>88</v>
      </c>
      <c r="O6" t="n">
        <v>86</v>
      </c>
      <c r="P6" t="n">
        <v>87</v>
      </c>
      <c r="Q6" t="n">
        <v>70</v>
      </c>
      <c r="R6" t="n">
        <v>95</v>
      </c>
      <c r="S6" t="n">
        <v>82</v>
      </c>
      <c r="T6" t="n">
        <v>62</v>
      </c>
      <c r="U6" t="n">
        <v>69</v>
      </c>
      <c r="V6" t="n">
        <v>64</v>
      </c>
      <c r="W6" t="n">
        <v>81</v>
      </c>
      <c r="X6" t="n">
        <v>65</v>
      </c>
      <c r="Y6" t="n">
        <v>70</v>
      </c>
      <c r="Z6" t="n">
        <v>86</v>
      </c>
      <c r="AA6" t="n">
        <v>86</v>
      </c>
      <c r="AB6" t="n">
        <v>86</v>
      </c>
      <c r="AC6" t="n">
        <v>79</v>
      </c>
      <c r="AD6" t="n">
        <v>81</v>
      </c>
      <c r="AE6" t="n">
        <v>9197</v>
      </c>
      <c r="AF6" t="n">
        <v>2005235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Courtney</t>
        </is>
      </c>
      <c r="B7" t="inlineStr">
        <is>
          <t>Alexander</t>
        </is>
      </c>
      <c r="C7" t="inlineStr">
        <is>
          <t>C</t>
        </is>
      </c>
      <c r="D7" t="inlineStr">
        <is>
          <t>N/A</t>
        </is>
      </c>
      <c r="E7" t="n">
        <v>2</v>
      </c>
      <c r="F7" t="n">
        <v>1997</v>
      </c>
      <c r="G7" t="n">
        <v>5</v>
      </c>
      <c r="H7" t="n">
        <v>8</v>
      </c>
      <c r="J7" t="n">
        <v>2.03</v>
      </c>
      <c r="K7" t="n">
        <v>93</v>
      </c>
      <c r="L7" t="n">
        <v>99</v>
      </c>
      <c r="M7" t="n">
        <v>73</v>
      </c>
      <c r="N7" t="n">
        <v>61</v>
      </c>
      <c r="O7" t="n">
        <v>60</v>
      </c>
      <c r="P7" t="n">
        <v>91</v>
      </c>
      <c r="Q7" t="n">
        <v>87</v>
      </c>
      <c r="R7" t="n">
        <v>59</v>
      </c>
      <c r="S7" t="n">
        <v>62</v>
      </c>
      <c r="T7" t="n">
        <v>87</v>
      </c>
      <c r="U7" t="n">
        <v>88</v>
      </c>
      <c r="V7" t="n">
        <v>88</v>
      </c>
      <c r="W7" t="n">
        <v>64</v>
      </c>
      <c r="X7" t="n">
        <v>95</v>
      </c>
      <c r="Y7" t="n">
        <v>94</v>
      </c>
      <c r="Z7" t="n">
        <v>61</v>
      </c>
      <c r="AA7" t="n">
        <v>88</v>
      </c>
      <c r="AB7" t="n">
        <v>93</v>
      </c>
      <c r="AC7" t="n">
        <v>73</v>
      </c>
      <c r="AD7" t="n">
        <v>76</v>
      </c>
      <c r="AE7" t="n">
        <v>9128</v>
      </c>
      <c r="AF7" t="n">
        <v>2004273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Luc</t>
        </is>
      </c>
      <c r="B8" t="inlineStr">
        <is>
          <t>van Slooten</t>
        </is>
      </c>
      <c r="C8" t="inlineStr">
        <is>
          <t>SF</t>
        </is>
      </c>
      <c r="D8" t="inlineStr">
        <is>
          <t>N/A</t>
        </is>
      </c>
      <c r="E8" t="n">
        <v>11</v>
      </c>
      <c r="F8" t="n">
        <v>2002</v>
      </c>
      <c r="G8" t="n">
        <v>4</v>
      </c>
      <c r="H8" t="n">
        <v>17</v>
      </c>
      <c r="J8" t="n">
        <v>2.04</v>
      </c>
      <c r="K8" t="n">
        <v>111</v>
      </c>
      <c r="L8" t="n">
        <v>81</v>
      </c>
      <c r="M8" t="n">
        <v>81</v>
      </c>
      <c r="N8" t="n">
        <v>74</v>
      </c>
      <c r="O8" t="n">
        <v>69</v>
      </c>
      <c r="P8" t="n">
        <v>85</v>
      </c>
      <c r="Q8" t="n">
        <v>75</v>
      </c>
      <c r="R8" t="n">
        <v>76</v>
      </c>
      <c r="S8" t="n">
        <v>72</v>
      </c>
      <c r="T8" t="n">
        <v>63</v>
      </c>
      <c r="U8" t="n">
        <v>78</v>
      </c>
      <c r="V8" t="n">
        <v>68</v>
      </c>
      <c r="W8" t="n">
        <v>82</v>
      </c>
      <c r="X8" t="n">
        <v>70</v>
      </c>
      <c r="Y8" t="n">
        <v>70</v>
      </c>
      <c r="Z8" t="n">
        <v>78</v>
      </c>
      <c r="AA8" t="n">
        <v>84</v>
      </c>
      <c r="AB8" t="n">
        <v>80</v>
      </c>
      <c r="AC8" t="n">
        <v>80</v>
      </c>
      <c r="AD8" t="n">
        <v>79</v>
      </c>
      <c r="AE8" t="n">
        <v>9044</v>
      </c>
      <c r="AF8" t="n">
        <v>2003178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Nico</t>
        </is>
      </c>
      <c r="B9" t="inlineStr">
        <is>
          <t>Höllerl</t>
        </is>
      </c>
      <c r="C9" t="inlineStr">
        <is>
          <t>SF</t>
        </is>
      </c>
      <c r="D9" t="inlineStr">
        <is>
          <t>N/A</t>
        </is>
      </c>
      <c r="E9" t="n">
        <v>5</v>
      </c>
      <c r="F9" t="n">
        <v>2003</v>
      </c>
      <c r="G9" t="n">
        <v>8</v>
      </c>
      <c r="H9" t="n">
        <v>27</v>
      </c>
      <c r="J9" t="n">
        <v>1.97</v>
      </c>
      <c r="K9" t="n">
        <v>92</v>
      </c>
      <c r="L9" t="n">
        <v>81</v>
      </c>
      <c r="M9" t="n">
        <v>81</v>
      </c>
      <c r="N9" t="n">
        <v>67</v>
      </c>
      <c r="O9" t="n">
        <v>69</v>
      </c>
      <c r="P9" t="n">
        <v>85</v>
      </c>
      <c r="Q9" t="n">
        <v>75</v>
      </c>
      <c r="R9" t="n">
        <v>82</v>
      </c>
      <c r="S9" t="n">
        <v>73</v>
      </c>
      <c r="T9" t="n">
        <v>63</v>
      </c>
      <c r="U9" t="n">
        <v>73</v>
      </c>
      <c r="V9" t="n">
        <v>68</v>
      </c>
      <c r="W9" t="n">
        <v>78</v>
      </c>
      <c r="X9" t="n">
        <v>70</v>
      </c>
      <c r="Y9" t="n">
        <v>69</v>
      </c>
      <c r="Z9" t="n">
        <v>83</v>
      </c>
      <c r="AA9" t="n">
        <v>84</v>
      </c>
      <c r="AB9" t="n">
        <v>80</v>
      </c>
      <c r="AC9" t="n">
        <v>79</v>
      </c>
      <c r="AD9" t="n">
        <v>79</v>
      </c>
      <c r="AE9" t="n">
        <v>9129</v>
      </c>
      <c r="AF9" t="n">
        <v>2004274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Hendrik Helge</t>
        </is>
      </c>
      <c r="B10" t="inlineStr">
        <is>
          <t>Drescher</t>
        </is>
      </c>
      <c r="C10" t="inlineStr">
        <is>
          <t>PF</t>
        </is>
      </c>
      <c r="D10" t="inlineStr">
        <is>
          <t>N/A</t>
        </is>
      </c>
      <c r="E10" t="n">
        <v>9</v>
      </c>
      <c r="F10" t="n">
        <v>2000</v>
      </c>
      <c r="G10" t="n">
        <v>3</v>
      </c>
      <c r="H10" t="n">
        <v>21</v>
      </c>
      <c r="J10" t="n">
        <v>2.04</v>
      </c>
      <c r="K10" t="n">
        <v>113</v>
      </c>
      <c r="L10" t="n">
        <v>83</v>
      </c>
      <c r="M10" t="n">
        <v>75</v>
      </c>
      <c r="N10" t="n">
        <v>78</v>
      </c>
      <c r="O10" t="n">
        <v>78</v>
      </c>
      <c r="P10" t="n">
        <v>80</v>
      </c>
      <c r="Q10" t="n">
        <v>80</v>
      </c>
      <c r="R10" t="n">
        <v>66</v>
      </c>
      <c r="S10" t="n">
        <v>68</v>
      </c>
      <c r="T10" t="n">
        <v>79</v>
      </c>
      <c r="U10" t="n">
        <v>87</v>
      </c>
      <c r="V10" t="n">
        <v>78</v>
      </c>
      <c r="W10" t="n">
        <v>68</v>
      </c>
      <c r="X10" t="n">
        <v>89</v>
      </c>
      <c r="Y10" t="n">
        <v>70</v>
      </c>
      <c r="Z10" t="n">
        <v>67</v>
      </c>
      <c r="AA10" t="n">
        <v>85</v>
      </c>
      <c r="AB10" t="n">
        <v>88</v>
      </c>
      <c r="AC10" t="n">
        <v>74</v>
      </c>
      <c r="AD10" t="n">
        <v>75</v>
      </c>
      <c r="AE10" t="n">
        <v>9042</v>
      </c>
      <c r="AF10" t="n">
        <v>2003169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Peyton Kennedy</t>
        </is>
      </c>
      <c r="B11" t="inlineStr">
        <is>
          <t>Gerald</t>
        </is>
      </c>
      <c r="C11" t="inlineStr">
        <is>
          <t>PF</t>
        </is>
      </c>
      <c r="D11" t="inlineStr">
        <is>
          <t>N/A</t>
        </is>
      </c>
      <c r="E11" t="n">
        <v>13</v>
      </c>
      <c r="F11" t="n">
        <v>2003</v>
      </c>
      <c r="G11" t="n">
        <v>1</v>
      </c>
      <c r="H11" t="n">
        <v>20</v>
      </c>
      <c r="J11" t="n">
        <v>2.05</v>
      </c>
      <c r="K11" t="n">
        <v>99</v>
      </c>
      <c r="L11" t="n">
        <v>81</v>
      </c>
      <c r="M11" t="n">
        <v>73</v>
      </c>
      <c r="N11" t="n">
        <v>69</v>
      </c>
      <c r="O11" t="n">
        <v>85</v>
      </c>
      <c r="P11" t="n">
        <v>78</v>
      </c>
      <c r="Q11" t="n">
        <v>78</v>
      </c>
      <c r="R11" t="n">
        <v>64</v>
      </c>
      <c r="S11" t="n">
        <v>66</v>
      </c>
      <c r="T11" t="n">
        <v>77</v>
      </c>
      <c r="U11" t="n">
        <v>82</v>
      </c>
      <c r="V11" t="n">
        <v>76</v>
      </c>
      <c r="W11" t="n">
        <v>66</v>
      </c>
      <c r="X11" t="n">
        <v>87</v>
      </c>
      <c r="Y11" t="n">
        <v>82</v>
      </c>
      <c r="Z11" t="n">
        <v>68</v>
      </c>
      <c r="AA11" t="n">
        <v>83</v>
      </c>
      <c r="AB11" t="n">
        <v>86</v>
      </c>
      <c r="AC11" t="n">
        <v>71</v>
      </c>
      <c r="AD11" t="n">
        <v>73</v>
      </c>
      <c r="AE11" t="n">
        <v>9056</v>
      </c>
      <c r="AF11" t="n">
        <v>2003862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Gianni</t>
        </is>
      </c>
      <c r="B12" t="inlineStr">
        <is>
          <t>Otto</t>
        </is>
      </c>
      <c r="C12" t="inlineStr">
        <is>
          <t>PG</t>
        </is>
      </c>
      <c r="D12" t="inlineStr">
        <is>
          <t>N/A</t>
        </is>
      </c>
      <c r="E12" t="n">
        <v>10</v>
      </c>
      <c r="F12" t="n">
        <v>1995</v>
      </c>
      <c r="G12" t="n">
        <v>6</v>
      </c>
      <c r="H12" t="n">
        <v>28</v>
      </c>
      <c r="J12" t="n">
        <v>1.86</v>
      </c>
      <c r="K12" t="n">
        <v>79</v>
      </c>
      <c r="L12" t="n">
        <v>75</v>
      </c>
      <c r="M12" t="n">
        <v>80</v>
      </c>
      <c r="N12" t="n">
        <v>82</v>
      </c>
      <c r="O12" t="n">
        <v>90</v>
      </c>
      <c r="P12" t="n">
        <v>86</v>
      </c>
      <c r="Q12" t="n">
        <v>60</v>
      </c>
      <c r="R12" t="n">
        <v>95</v>
      </c>
      <c r="S12" t="n">
        <v>90</v>
      </c>
      <c r="T12" t="n">
        <v>55</v>
      </c>
      <c r="U12" t="n">
        <v>51</v>
      </c>
      <c r="V12" t="n">
        <v>51</v>
      </c>
      <c r="W12" t="n">
        <v>90</v>
      </c>
      <c r="X12" t="n">
        <v>55</v>
      </c>
      <c r="Y12" t="n">
        <v>55</v>
      </c>
      <c r="Z12" t="n">
        <v>88</v>
      </c>
      <c r="AA12" t="n">
        <v>79</v>
      </c>
      <c r="AB12" t="n">
        <v>77</v>
      </c>
      <c r="AC12" t="n">
        <v>78</v>
      </c>
      <c r="AD12" t="n">
        <v>81</v>
      </c>
      <c r="AE12" t="n">
        <v>5115</v>
      </c>
      <c r="AF12" t="n">
        <v>2001472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Till</t>
        </is>
      </c>
      <c r="B13" t="inlineStr">
        <is>
          <t>Isemann</t>
        </is>
      </c>
      <c r="C13" t="inlineStr">
        <is>
          <t>C</t>
        </is>
      </c>
      <c r="D13" t="inlineStr">
        <is>
          <t>N/A</t>
        </is>
      </c>
      <c r="E13" t="n">
        <v>21</v>
      </c>
      <c r="F13" t="n">
        <v>1996</v>
      </c>
      <c r="G13" t="n">
        <v>10</v>
      </c>
      <c r="H13" t="n">
        <v>21</v>
      </c>
      <c r="J13" t="n">
        <v>2.09</v>
      </c>
      <c r="K13" t="n">
        <v>116</v>
      </c>
      <c r="L13" t="n">
        <v>94</v>
      </c>
      <c r="M13" t="n">
        <v>67</v>
      </c>
      <c r="N13" t="n">
        <v>70</v>
      </c>
      <c r="O13" t="n">
        <v>69</v>
      </c>
      <c r="P13" t="n">
        <v>85</v>
      </c>
      <c r="Q13" t="n">
        <v>82</v>
      </c>
      <c r="R13" t="n">
        <v>55</v>
      </c>
      <c r="S13" t="n">
        <v>60</v>
      </c>
      <c r="T13" t="n">
        <v>82</v>
      </c>
      <c r="U13" t="n">
        <v>94</v>
      </c>
      <c r="V13" t="n">
        <v>87</v>
      </c>
      <c r="W13" t="n">
        <v>60</v>
      </c>
      <c r="X13" t="n">
        <v>88</v>
      </c>
      <c r="Y13" t="n">
        <v>80</v>
      </c>
      <c r="Z13" t="n">
        <v>50</v>
      </c>
      <c r="AA13" t="n">
        <v>81</v>
      </c>
      <c r="AB13" t="n">
        <v>86</v>
      </c>
      <c r="AC13" t="n">
        <v>71</v>
      </c>
      <c r="AD13" t="n">
        <v>76</v>
      </c>
      <c r="AE13" t="n">
        <v>9431</v>
      </c>
      <c r="AF13" t="n">
        <v>2003107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  <row r="14">
      <c r="A14" t="inlineStr">
        <is>
          <t>Mathéo</t>
        </is>
      </c>
      <c r="B14" t="inlineStr">
        <is>
          <t>Hermann</t>
        </is>
      </c>
      <c r="C14" t="inlineStr">
        <is>
          <t>SG</t>
        </is>
      </c>
      <c r="D14" t="inlineStr">
        <is>
          <t>N/A</t>
        </is>
      </c>
      <c r="E14" t="n">
        <v>4</v>
      </c>
      <c r="F14" t="n">
        <v>2007</v>
      </c>
      <c r="G14" t="n">
        <v>12</v>
      </c>
      <c r="H14" t="n">
        <v>21</v>
      </c>
      <c r="J14" t="n">
        <v>1.94</v>
      </c>
      <c r="K14" t="n">
        <v>80</v>
      </c>
      <c r="L14" t="n">
        <v>75</v>
      </c>
      <c r="M14" t="n">
        <v>78</v>
      </c>
      <c r="N14" t="n">
        <v>80</v>
      </c>
      <c r="O14" t="n">
        <v>69</v>
      </c>
      <c r="P14" t="n">
        <v>79</v>
      </c>
      <c r="Q14" t="n">
        <v>65</v>
      </c>
      <c r="R14" t="n">
        <v>79</v>
      </c>
      <c r="S14" t="n">
        <v>68</v>
      </c>
      <c r="T14" t="n">
        <v>55</v>
      </c>
      <c r="U14" t="n">
        <v>58</v>
      </c>
      <c r="V14" t="n">
        <v>58</v>
      </c>
      <c r="W14" t="n">
        <v>75</v>
      </c>
      <c r="X14" t="n">
        <v>53</v>
      </c>
      <c r="Y14" t="n">
        <v>58</v>
      </c>
      <c r="Z14" t="n">
        <v>89</v>
      </c>
      <c r="AA14" t="n">
        <v>80</v>
      </c>
      <c r="AB14" t="n">
        <v>74</v>
      </c>
      <c r="AC14" t="n">
        <v>68</v>
      </c>
      <c r="AD14" t="n">
        <v>68</v>
      </c>
      <c r="AE14" t="n">
        <v>9130</v>
      </c>
      <c r="AF14" t="n">
        <v>2004275</v>
      </c>
      <c r="AG14">
        <f>IF(ISNA(MATCH($C14,'_Overall_Model'!$A$2:$A$6,0)),"",ROUND(SUMPRODUCT(L14:AD14,INDEX('_Overall_Model'!$B$2:$T$6,MATCH($C14,'_Overall_Model'!$A$2:$A$6,0),0))+INDEX('_Overall_Model'!$U$2:$U$6,MATCH($C14,'_Overall_Model'!$A$2:$A$6,0))+INDEX('_Overall_Model'!$V$2:$V$6,MATCH($C14,'_Overall_Model'!$A$2:$A$6,0))*IF(Q14&gt;=75,99,IF(Q14&gt;=60,50,0))+INDEX('_Overall_Model'!$W$2:$W$6,MATCH($C14,'_Overall_Model'!$A$2:$A$6,0))*J14+INDEX('_Overall_Model'!$X$2:$X$6,MATCH($C14,'_Overall_Model'!$A$2:$A$6,0))*K14,0))</f>
        <v/>
      </c>
    </row>
    <row r="15">
      <c r="A15" t="inlineStr">
        <is>
          <t>Phil</t>
        </is>
      </c>
      <c r="B15" t="inlineStr">
        <is>
          <t>Ikejiaku</t>
        </is>
      </c>
      <c r="C15" t="inlineStr">
        <is>
          <t>C</t>
        </is>
      </c>
      <c r="D15" t="inlineStr">
        <is>
          <t>N/A</t>
        </is>
      </c>
      <c r="E15" t="n">
        <v>19</v>
      </c>
      <c r="F15" t="n">
        <v>2007</v>
      </c>
      <c r="G15" t="n">
        <v>6</v>
      </c>
      <c r="H15" t="n">
        <v>16</v>
      </c>
      <c r="J15" t="n">
        <v>2.03</v>
      </c>
      <c r="K15" t="n">
        <v>87</v>
      </c>
      <c r="L15" t="n">
        <v>79</v>
      </c>
      <c r="M15" t="n">
        <v>62</v>
      </c>
      <c r="N15" t="n">
        <v>50</v>
      </c>
      <c r="O15" t="n">
        <v>62</v>
      </c>
      <c r="P15" t="n">
        <v>70</v>
      </c>
      <c r="Q15" t="n">
        <v>79</v>
      </c>
      <c r="R15" t="n">
        <v>50</v>
      </c>
      <c r="S15" t="n">
        <v>51</v>
      </c>
      <c r="T15" t="n">
        <v>74</v>
      </c>
      <c r="U15" t="n">
        <v>79</v>
      </c>
      <c r="V15" t="n">
        <v>79</v>
      </c>
      <c r="W15" t="n">
        <v>55</v>
      </c>
      <c r="X15" t="n">
        <v>80</v>
      </c>
      <c r="Y15" t="n">
        <v>80</v>
      </c>
      <c r="Z15" t="n">
        <v>56</v>
      </c>
      <c r="AA15" t="n">
        <v>79</v>
      </c>
      <c r="AB15" t="n">
        <v>78</v>
      </c>
      <c r="AC15" t="n">
        <v>58</v>
      </c>
      <c r="AD15" t="n">
        <v>60</v>
      </c>
      <c r="AE15" t="n">
        <v>9131</v>
      </c>
      <c r="AF15" t="n">
        <v>2004363</v>
      </c>
      <c r="AG15">
        <f>IF(ISNA(MATCH($C15,'_Overall_Model'!$A$2:$A$6,0)),"",ROUND(SUMPRODUCT(L15:AD15,INDEX('_Overall_Model'!$B$2:$T$6,MATCH($C15,'_Overall_Model'!$A$2:$A$6,0),0))+INDEX('_Overall_Model'!$U$2:$U$6,MATCH($C15,'_Overall_Model'!$A$2:$A$6,0))+INDEX('_Overall_Model'!$V$2:$V$6,MATCH($C15,'_Overall_Model'!$A$2:$A$6,0))*IF(Q15&gt;=75,99,IF(Q15&gt;=60,50,0))+INDEX('_Overall_Model'!$W$2:$W$6,MATCH($C15,'_Overall_Model'!$A$2:$A$6,0))*J15+INDEX('_Overall_Model'!$X$2:$X$6,MATCH($C15,'_Overall_Model'!$A$2:$A$6,0))*K15,0)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15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Desmond</t>
        </is>
      </c>
      <c r="B2" t="inlineStr">
        <is>
          <t>Watson</t>
        </is>
      </c>
      <c r="C2" t="inlineStr">
        <is>
          <t>SG</t>
        </is>
      </c>
      <c r="D2" t="inlineStr">
        <is>
          <t>N/A</t>
        </is>
      </c>
      <c r="E2" t="n">
        <v>4</v>
      </c>
      <c r="F2" t="n">
        <v>2003</v>
      </c>
      <c r="G2" t="n">
        <v>6</v>
      </c>
      <c r="H2" t="n">
        <v>15</v>
      </c>
      <c r="J2" t="n">
        <v>1.96</v>
      </c>
      <c r="K2" t="n">
        <v>95</v>
      </c>
      <c r="L2" t="n">
        <v>90</v>
      </c>
      <c r="M2" t="n">
        <v>93</v>
      </c>
      <c r="N2" t="n">
        <v>67</v>
      </c>
      <c r="O2" t="n">
        <v>94</v>
      </c>
      <c r="P2" t="n">
        <v>94</v>
      </c>
      <c r="Q2" t="n">
        <v>75</v>
      </c>
      <c r="R2" t="n">
        <v>87</v>
      </c>
      <c r="S2" t="n">
        <v>79</v>
      </c>
      <c r="T2" t="n">
        <v>68</v>
      </c>
      <c r="U2" t="n">
        <v>69</v>
      </c>
      <c r="V2" t="n">
        <v>67</v>
      </c>
      <c r="W2" t="n">
        <v>84</v>
      </c>
      <c r="X2" t="n">
        <v>65</v>
      </c>
      <c r="Y2" t="n">
        <v>69</v>
      </c>
      <c r="Z2" t="n">
        <v>92</v>
      </c>
      <c r="AA2" t="n">
        <v>89</v>
      </c>
      <c r="AB2" t="n">
        <v>86</v>
      </c>
      <c r="AC2" t="n">
        <v>82</v>
      </c>
      <c r="AD2" t="n">
        <v>86</v>
      </c>
      <c r="AE2" t="n">
        <v>9009</v>
      </c>
      <c r="AF2" t="n">
        <v>1400011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Tyrel</t>
        </is>
      </c>
      <c r="B3" t="inlineStr">
        <is>
          <t>Morgan</t>
        </is>
      </c>
      <c r="C3" t="inlineStr">
        <is>
          <t>SG</t>
        </is>
      </c>
      <c r="D3" t="inlineStr">
        <is>
          <t>N/A</t>
        </is>
      </c>
      <c r="E3" t="n">
        <v>11</v>
      </c>
      <c r="F3" t="n">
        <v>2001</v>
      </c>
      <c r="G3" t="n">
        <v>3</v>
      </c>
      <c r="H3" t="n">
        <v>13</v>
      </c>
      <c r="J3" t="n">
        <v>1.95</v>
      </c>
      <c r="K3" t="n">
        <v>90</v>
      </c>
      <c r="L3" t="n">
        <v>81</v>
      </c>
      <c r="M3" t="n">
        <v>84</v>
      </c>
      <c r="N3" t="n">
        <v>86</v>
      </c>
      <c r="O3" t="n">
        <v>60</v>
      </c>
      <c r="P3" t="n">
        <v>85</v>
      </c>
      <c r="Q3" t="n">
        <v>69</v>
      </c>
      <c r="R3" t="n">
        <v>85</v>
      </c>
      <c r="S3" t="n">
        <v>76</v>
      </c>
      <c r="T3" t="n">
        <v>61</v>
      </c>
      <c r="U3" t="n">
        <v>64</v>
      </c>
      <c r="V3" t="n">
        <v>64</v>
      </c>
      <c r="W3" t="n">
        <v>81</v>
      </c>
      <c r="X3" t="n">
        <v>65</v>
      </c>
      <c r="Y3" t="n">
        <v>66</v>
      </c>
      <c r="Z3" t="n">
        <v>89</v>
      </c>
      <c r="AA3" t="n">
        <v>86</v>
      </c>
      <c r="AB3" t="n">
        <v>86</v>
      </c>
      <c r="AC3" t="n">
        <v>79</v>
      </c>
      <c r="AD3" t="n">
        <v>80</v>
      </c>
      <c r="AE3" t="n">
        <v>5188</v>
      </c>
      <c r="AF3" t="n">
        <v>2001727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Julius</t>
        </is>
      </c>
      <c r="B4" t="inlineStr">
        <is>
          <t>Wolf</t>
        </is>
      </c>
      <c r="C4" t="inlineStr">
        <is>
          <t>C</t>
        </is>
      </c>
      <c r="D4" t="inlineStr">
        <is>
          <t>N/A</t>
        </is>
      </c>
      <c r="E4" t="n">
        <v>28</v>
      </c>
      <c r="F4" t="n">
        <v>1993</v>
      </c>
      <c r="G4" t="n">
        <v>1</v>
      </c>
      <c r="H4" t="n">
        <v>26</v>
      </c>
      <c r="J4" t="n">
        <v>2.05</v>
      </c>
      <c r="K4" t="n">
        <v>109</v>
      </c>
      <c r="L4" t="n">
        <v>88</v>
      </c>
      <c r="M4" t="n">
        <v>71</v>
      </c>
      <c r="N4" t="n">
        <v>60</v>
      </c>
      <c r="O4" t="n">
        <v>69</v>
      </c>
      <c r="P4" t="n">
        <v>79</v>
      </c>
      <c r="Q4" t="n">
        <v>86</v>
      </c>
      <c r="R4" t="n">
        <v>59</v>
      </c>
      <c r="S4" t="n">
        <v>64</v>
      </c>
      <c r="T4" t="n">
        <v>83</v>
      </c>
      <c r="U4" t="n">
        <v>93</v>
      </c>
      <c r="V4" t="n">
        <v>88</v>
      </c>
      <c r="W4" t="n">
        <v>64</v>
      </c>
      <c r="X4" t="n">
        <v>92</v>
      </c>
      <c r="Y4" t="n">
        <v>94</v>
      </c>
      <c r="Z4" t="n">
        <v>55</v>
      </c>
      <c r="AA4" t="n">
        <v>85</v>
      </c>
      <c r="AB4" t="n">
        <v>90</v>
      </c>
      <c r="AC4" t="n">
        <v>76</v>
      </c>
      <c r="AD4" t="n">
        <v>80</v>
      </c>
      <c r="AE4" t="n">
        <v>9076</v>
      </c>
      <c r="AF4" t="n">
        <v>2004013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Corey</t>
        </is>
      </c>
      <c r="B5" t="inlineStr">
        <is>
          <t>Hines Jr</t>
        </is>
      </c>
      <c r="C5" t="inlineStr">
        <is>
          <t>PG</t>
        </is>
      </c>
      <c r="D5" t="inlineStr">
        <is>
          <t>N/A</t>
        </is>
      </c>
      <c r="E5" t="n">
        <v>2</v>
      </c>
      <c r="F5" t="n">
        <v>2002</v>
      </c>
      <c r="G5" t="n">
        <v>3</v>
      </c>
      <c r="H5" t="n">
        <v>18</v>
      </c>
      <c r="J5" t="n">
        <v>1.88</v>
      </c>
      <c r="K5" t="n">
        <v>86</v>
      </c>
      <c r="L5" t="n">
        <v>87</v>
      </c>
      <c r="M5" t="n">
        <v>86</v>
      </c>
      <c r="N5" t="n">
        <v>81</v>
      </c>
      <c r="O5" t="n">
        <v>60</v>
      </c>
      <c r="P5" t="n">
        <v>98</v>
      </c>
      <c r="Q5" t="n">
        <v>65</v>
      </c>
      <c r="R5" t="n">
        <v>99</v>
      </c>
      <c r="S5" t="n">
        <v>97</v>
      </c>
      <c r="T5" t="n">
        <v>62</v>
      </c>
      <c r="U5" t="n">
        <v>55</v>
      </c>
      <c r="V5" t="n">
        <v>55</v>
      </c>
      <c r="W5" t="n">
        <v>91</v>
      </c>
      <c r="X5" t="n">
        <v>62</v>
      </c>
      <c r="Y5" t="n">
        <v>61</v>
      </c>
      <c r="Z5" t="n">
        <v>93</v>
      </c>
      <c r="AA5" t="n">
        <v>86</v>
      </c>
      <c r="AB5" t="n">
        <v>84</v>
      </c>
      <c r="AC5" t="n">
        <v>79</v>
      </c>
      <c r="AD5" t="n">
        <v>81</v>
      </c>
      <c r="AE5" t="n">
        <v>9169</v>
      </c>
      <c r="AF5" t="n">
        <v>2004723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Philip</t>
        </is>
      </c>
      <c r="B6" t="inlineStr">
        <is>
          <t>Alston</t>
        </is>
      </c>
      <c r="C6" t="inlineStr">
        <is>
          <t>PF</t>
        </is>
      </c>
      <c r="D6" t="inlineStr">
        <is>
          <t>N/A</t>
        </is>
      </c>
      <c r="E6" t="n">
        <v>1</v>
      </c>
      <c r="F6" t="n">
        <v>2001</v>
      </c>
      <c r="G6" t="n">
        <v>8</v>
      </c>
      <c r="H6" t="n">
        <v>7</v>
      </c>
      <c r="J6" t="n">
        <v>2.02</v>
      </c>
      <c r="K6" t="n">
        <v>102</v>
      </c>
      <c r="L6" t="n">
        <v>85</v>
      </c>
      <c r="M6" t="n">
        <v>77</v>
      </c>
      <c r="N6" t="n">
        <v>60</v>
      </c>
      <c r="O6" t="n">
        <v>69</v>
      </c>
      <c r="P6" t="n">
        <v>82</v>
      </c>
      <c r="Q6" t="n">
        <v>81</v>
      </c>
      <c r="R6" t="n">
        <v>66</v>
      </c>
      <c r="S6" t="n">
        <v>68</v>
      </c>
      <c r="T6" t="n">
        <v>80</v>
      </c>
      <c r="U6" t="n">
        <v>84</v>
      </c>
      <c r="V6" t="n">
        <v>78</v>
      </c>
      <c r="W6" t="n">
        <v>68</v>
      </c>
      <c r="X6" t="n">
        <v>89</v>
      </c>
      <c r="Y6" t="n">
        <v>69</v>
      </c>
      <c r="Z6" t="n">
        <v>70</v>
      </c>
      <c r="AA6" t="n">
        <v>85</v>
      </c>
      <c r="AB6" t="n">
        <v>88</v>
      </c>
      <c r="AC6" t="n">
        <v>74</v>
      </c>
      <c r="AD6" t="n">
        <v>76</v>
      </c>
      <c r="AE6" t="n">
        <v>9073</v>
      </c>
      <c r="AF6" t="n">
        <v>2004009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Adrian</t>
        </is>
      </c>
      <c r="B7" t="inlineStr">
        <is>
          <t>Worthy</t>
        </is>
      </c>
      <c r="C7" t="inlineStr">
        <is>
          <t>PG</t>
        </is>
      </c>
      <c r="D7" t="inlineStr">
        <is>
          <t>N/A</t>
        </is>
      </c>
      <c r="E7" t="n">
        <v>0</v>
      </c>
      <c r="F7" t="n">
        <v>2003</v>
      </c>
      <c r="G7" t="n">
        <v>1</v>
      </c>
      <c r="H7" t="n">
        <v>28</v>
      </c>
      <c r="J7" t="n">
        <v>1.88</v>
      </c>
      <c r="K7" t="n">
        <v>84</v>
      </c>
      <c r="L7" t="n">
        <v>80</v>
      </c>
      <c r="M7" t="n">
        <v>85</v>
      </c>
      <c r="N7" t="n">
        <v>67</v>
      </c>
      <c r="O7" t="n">
        <v>93</v>
      </c>
      <c r="P7" t="n">
        <v>91</v>
      </c>
      <c r="Q7" t="n">
        <v>64</v>
      </c>
      <c r="R7" t="n">
        <v>93</v>
      </c>
      <c r="S7" t="n">
        <v>90</v>
      </c>
      <c r="T7" t="n">
        <v>59</v>
      </c>
      <c r="U7" t="n">
        <v>54</v>
      </c>
      <c r="V7" t="n">
        <v>54</v>
      </c>
      <c r="W7" t="n">
        <v>97</v>
      </c>
      <c r="X7" t="n">
        <v>58</v>
      </c>
      <c r="Y7" t="n">
        <v>60</v>
      </c>
      <c r="Z7" t="n">
        <v>94</v>
      </c>
      <c r="AA7" t="n">
        <v>85</v>
      </c>
      <c r="AB7" t="n">
        <v>80</v>
      </c>
      <c r="AC7" t="n">
        <v>80</v>
      </c>
      <c r="AD7" t="n">
        <v>79</v>
      </c>
      <c r="AE7" t="n">
        <v>9085</v>
      </c>
      <c r="AF7" t="n">
        <v>2004073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Christoph</t>
        </is>
      </c>
      <c r="B8" t="inlineStr">
        <is>
          <t>Philipps</t>
        </is>
      </c>
      <c r="C8" t="inlineStr">
        <is>
          <t>SF</t>
        </is>
      </c>
      <c r="D8" t="inlineStr">
        <is>
          <t>N/A</t>
        </is>
      </c>
      <c r="E8" t="n">
        <v>5</v>
      </c>
      <c r="F8" t="n">
        <v>1998</v>
      </c>
      <c r="G8" t="n">
        <v>9</v>
      </c>
      <c r="H8" t="n">
        <v>15</v>
      </c>
      <c r="J8" t="n">
        <v>2.01</v>
      </c>
      <c r="K8" t="n">
        <v>94</v>
      </c>
      <c r="L8" t="n">
        <v>81</v>
      </c>
      <c r="M8" t="n">
        <v>81</v>
      </c>
      <c r="N8" t="n">
        <v>67</v>
      </c>
      <c r="O8" t="n">
        <v>86</v>
      </c>
      <c r="P8" t="n">
        <v>85</v>
      </c>
      <c r="Q8" t="n">
        <v>75</v>
      </c>
      <c r="R8" t="n">
        <v>76</v>
      </c>
      <c r="S8" t="n">
        <v>72</v>
      </c>
      <c r="T8" t="n">
        <v>63</v>
      </c>
      <c r="U8" t="n">
        <v>73</v>
      </c>
      <c r="V8" t="n">
        <v>68</v>
      </c>
      <c r="W8" t="n">
        <v>78</v>
      </c>
      <c r="X8" t="n">
        <v>73</v>
      </c>
      <c r="Y8" t="n">
        <v>69</v>
      </c>
      <c r="Z8" t="n">
        <v>81</v>
      </c>
      <c r="AA8" t="n">
        <v>84</v>
      </c>
      <c r="AB8" t="n">
        <v>83</v>
      </c>
      <c r="AC8" t="n">
        <v>79</v>
      </c>
      <c r="AD8" t="n">
        <v>79</v>
      </c>
      <c r="AE8" t="n">
        <v>9189</v>
      </c>
      <c r="AF8" t="n">
        <v>2005083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Johannes</t>
        </is>
      </c>
      <c r="B9" t="inlineStr">
        <is>
          <t>Patrick</t>
        </is>
      </c>
      <c r="C9" t="inlineStr">
        <is>
          <t>PG</t>
        </is>
      </c>
      <c r="D9" t="inlineStr">
        <is>
          <t>N/A</t>
        </is>
      </c>
      <c r="E9" t="n">
        <v>6</v>
      </c>
      <c r="F9" t="n">
        <v>2001</v>
      </c>
      <c r="G9" t="n">
        <v>12</v>
      </c>
      <c r="H9" t="n">
        <v>30</v>
      </c>
      <c r="J9" t="n">
        <v>1.85</v>
      </c>
      <c r="K9" t="n">
        <v>80</v>
      </c>
      <c r="L9" t="n">
        <v>77</v>
      </c>
      <c r="M9" t="n">
        <v>82</v>
      </c>
      <c r="N9" t="n">
        <v>77</v>
      </c>
      <c r="O9" t="n">
        <v>92</v>
      </c>
      <c r="P9" t="n">
        <v>88</v>
      </c>
      <c r="Q9" t="n">
        <v>62</v>
      </c>
      <c r="R9" t="n">
        <v>93</v>
      </c>
      <c r="S9" t="n">
        <v>89</v>
      </c>
      <c r="T9" t="n">
        <v>57</v>
      </c>
      <c r="U9" t="n">
        <v>53</v>
      </c>
      <c r="V9" t="n">
        <v>53</v>
      </c>
      <c r="W9" t="n">
        <v>96</v>
      </c>
      <c r="X9" t="n">
        <v>57</v>
      </c>
      <c r="Y9" t="n">
        <v>57</v>
      </c>
      <c r="Z9" t="n">
        <v>93</v>
      </c>
      <c r="AA9" t="n">
        <v>84</v>
      </c>
      <c r="AB9" t="n">
        <v>79</v>
      </c>
      <c r="AC9" t="n">
        <v>78</v>
      </c>
      <c r="AD9" t="n">
        <v>78</v>
      </c>
      <c r="AE9" t="n">
        <v>9008</v>
      </c>
      <c r="AF9" t="n">
        <v>1400009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Nicolas</t>
        </is>
      </c>
      <c r="B10" t="inlineStr">
        <is>
          <t>Bretzel</t>
        </is>
      </c>
      <c r="C10" t="inlineStr">
        <is>
          <t>C</t>
        </is>
      </c>
      <c r="D10" t="inlineStr">
        <is>
          <t>N/A</t>
        </is>
      </c>
      <c r="E10" t="n">
        <v>21</v>
      </c>
      <c r="F10" t="n">
        <v>1999</v>
      </c>
      <c r="G10" t="n">
        <v>5</v>
      </c>
      <c r="H10" t="n">
        <v>29</v>
      </c>
      <c r="J10" t="n">
        <v>2.12</v>
      </c>
      <c r="K10" t="n">
        <v>110</v>
      </c>
      <c r="L10" t="n">
        <v>86</v>
      </c>
      <c r="M10" t="n">
        <v>69</v>
      </c>
      <c r="N10" t="n">
        <v>60</v>
      </c>
      <c r="O10" t="n">
        <v>75</v>
      </c>
      <c r="P10" t="n">
        <v>77</v>
      </c>
      <c r="Q10" t="n">
        <v>86</v>
      </c>
      <c r="R10" t="n">
        <v>57</v>
      </c>
      <c r="S10" t="n">
        <v>60</v>
      </c>
      <c r="T10" t="n">
        <v>81</v>
      </c>
      <c r="U10" t="n">
        <v>95</v>
      </c>
      <c r="V10" t="n">
        <v>91</v>
      </c>
      <c r="W10" t="n">
        <v>62</v>
      </c>
      <c r="X10" t="n">
        <v>95</v>
      </c>
      <c r="Y10" t="n">
        <v>75</v>
      </c>
      <c r="Z10" t="n">
        <v>52</v>
      </c>
      <c r="AA10" t="n">
        <v>86</v>
      </c>
      <c r="AB10" t="n">
        <v>88</v>
      </c>
      <c r="AC10" t="n">
        <v>70</v>
      </c>
      <c r="AD10" t="n">
        <v>73</v>
      </c>
      <c r="AE10" t="n">
        <v>5557</v>
      </c>
      <c r="AF10" t="n">
        <v>2002089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Paul</t>
        </is>
      </c>
      <c r="B11" t="inlineStr">
        <is>
          <t>Viefhues</t>
        </is>
      </c>
      <c r="C11" t="inlineStr">
        <is>
          <t>SG</t>
        </is>
      </c>
      <c r="D11" t="inlineStr">
        <is>
          <t>N/A</t>
        </is>
      </c>
      <c r="E11" t="n">
        <v>3</v>
      </c>
      <c r="F11" t="n">
        <v>2005</v>
      </c>
      <c r="G11" t="n">
        <v>2</v>
      </c>
      <c r="H11" t="n">
        <v>18</v>
      </c>
      <c r="J11" t="n">
        <v>1.99</v>
      </c>
      <c r="K11" t="n">
        <v>93</v>
      </c>
      <c r="L11" t="n">
        <v>78</v>
      </c>
      <c r="M11" t="n">
        <v>81</v>
      </c>
      <c r="N11" t="n">
        <v>90</v>
      </c>
      <c r="O11" t="n">
        <v>60</v>
      </c>
      <c r="P11" t="n">
        <v>82</v>
      </c>
      <c r="Q11" t="n">
        <v>68</v>
      </c>
      <c r="R11" t="n">
        <v>82</v>
      </c>
      <c r="S11" t="n">
        <v>71</v>
      </c>
      <c r="T11" t="n">
        <v>58</v>
      </c>
      <c r="U11" t="n">
        <v>61</v>
      </c>
      <c r="V11" t="n">
        <v>61</v>
      </c>
      <c r="W11" t="n">
        <v>78</v>
      </c>
      <c r="X11" t="n">
        <v>56</v>
      </c>
      <c r="Y11" t="n">
        <v>61</v>
      </c>
      <c r="Z11" t="n">
        <v>90</v>
      </c>
      <c r="AA11" t="n">
        <v>83</v>
      </c>
      <c r="AB11" t="n">
        <v>77</v>
      </c>
      <c r="AC11" t="n">
        <v>71</v>
      </c>
      <c r="AD11" t="n">
        <v>71</v>
      </c>
      <c r="AE11" t="n">
        <v>9075</v>
      </c>
      <c r="AF11" t="n">
        <v>2004012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Lukas</t>
        </is>
      </c>
      <c r="B12" t="inlineStr">
        <is>
          <t>Zerner</t>
        </is>
      </c>
      <c r="C12" t="inlineStr">
        <is>
          <t>C</t>
        </is>
      </c>
      <c r="D12" t="inlineStr">
        <is>
          <t>N/A</t>
        </is>
      </c>
      <c r="E12" t="n">
        <v>10</v>
      </c>
      <c r="F12" t="n">
        <v>2000</v>
      </c>
      <c r="G12" t="n">
        <v>10</v>
      </c>
      <c r="H12" t="n">
        <v>18</v>
      </c>
      <c r="J12" t="n">
        <v>2.03</v>
      </c>
      <c r="K12" t="n">
        <v>103</v>
      </c>
      <c r="L12" t="n">
        <v>95</v>
      </c>
      <c r="M12" t="n">
        <v>68</v>
      </c>
      <c r="N12" t="n">
        <v>51</v>
      </c>
      <c r="O12" t="n">
        <v>60</v>
      </c>
      <c r="P12" t="n">
        <v>86</v>
      </c>
      <c r="Q12" t="n">
        <v>83</v>
      </c>
      <c r="R12" t="n">
        <v>56</v>
      </c>
      <c r="S12" t="n">
        <v>59</v>
      </c>
      <c r="T12" t="n">
        <v>83</v>
      </c>
      <c r="U12" t="n">
        <v>87</v>
      </c>
      <c r="V12" t="n">
        <v>85</v>
      </c>
      <c r="W12" t="n">
        <v>61</v>
      </c>
      <c r="X12" t="n">
        <v>89</v>
      </c>
      <c r="Y12" t="n">
        <v>69</v>
      </c>
      <c r="Z12" t="n">
        <v>58</v>
      </c>
      <c r="AA12" t="n">
        <v>85</v>
      </c>
      <c r="AB12" t="n">
        <v>87</v>
      </c>
      <c r="AC12" t="n">
        <v>69</v>
      </c>
      <c r="AD12" t="n">
        <v>72</v>
      </c>
      <c r="AE12" t="n">
        <v>9078</v>
      </c>
      <c r="AF12" t="n">
        <v>2004015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Alexander</t>
        </is>
      </c>
      <c r="B13" t="inlineStr">
        <is>
          <t>Stief</t>
        </is>
      </c>
      <c r="C13" t="inlineStr">
        <is>
          <t>PF</t>
        </is>
      </c>
      <c r="D13" t="inlineStr">
        <is>
          <t>N/A</t>
        </is>
      </c>
      <c r="E13" t="n">
        <v>14</v>
      </c>
      <c r="F13" t="n">
        <v>2004</v>
      </c>
      <c r="G13" t="n">
        <v>8</v>
      </c>
      <c r="H13" t="n">
        <v>13</v>
      </c>
      <c r="J13" t="n">
        <v>1.99</v>
      </c>
      <c r="K13" t="n">
        <v>103</v>
      </c>
      <c r="L13" t="n">
        <v>76</v>
      </c>
      <c r="M13" t="n">
        <v>68</v>
      </c>
      <c r="N13" t="n">
        <v>64</v>
      </c>
      <c r="O13" t="n">
        <v>66</v>
      </c>
      <c r="P13" t="n">
        <v>73</v>
      </c>
      <c r="Q13" t="n">
        <v>73</v>
      </c>
      <c r="R13" t="n">
        <v>61</v>
      </c>
      <c r="S13" t="n">
        <v>61</v>
      </c>
      <c r="T13" t="n">
        <v>72</v>
      </c>
      <c r="U13" t="n">
        <v>77</v>
      </c>
      <c r="V13" t="n">
        <v>71</v>
      </c>
      <c r="W13" t="n">
        <v>61</v>
      </c>
      <c r="X13" t="n">
        <v>79</v>
      </c>
      <c r="Y13" t="n">
        <v>77</v>
      </c>
      <c r="Z13" t="n">
        <v>65</v>
      </c>
      <c r="AA13" t="n">
        <v>78</v>
      </c>
      <c r="AB13" t="n">
        <v>78</v>
      </c>
      <c r="AC13" t="n">
        <v>66</v>
      </c>
      <c r="AD13" t="n">
        <v>68</v>
      </c>
      <c r="AE13" t="n">
        <v>9074</v>
      </c>
      <c r="AF13" t="n">
        <v>2004011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  <row r="14">
      <c r="A14" t="inlineStr">
        <is>
          <t>Moritz</t>
        </is>
      </c>
      <c r="B14" t="inlineStr">
        <is>
          <t>Lemke</t>
        </is>
      </c>
      <c r="C14" t="inlineStr">
        <is>
          <t>SF</t>
        </is>
      </c>
      <c r="D14" t="inlineStr">
        <is>
          <t>N/A</t>
        </is>
      </c>
      <c r="E14" t="n">
        <v>13</v>
      </c>
      <c r="F14" t="n">
        <v>2008</v>
      </c>
      <c r="G14" t="n">
        <v>7</v>
      </c>
      <c r="H14" t="n">
        <v>8</v>
      </c>
      <c r="J14" t="n">
        <v>1.97</v>
      </c>
      <c r="K14" t="n">
        <v>88</v>
      </c>
      <c r="L14" t="n">
        <v>73</v>
      </c>
      <c r="M14" t="n">
        <v>73</v>
      </c>
      <c r="N14" t="n">
        <v>66</v>
      </c>
      <c r="O14" t="n">
        <v>73</v>
      </c>
      <c r="P14" t="n">
        <v>77</v>
      </c>
      <c r="Q14" t="n">
        <v>69</v>
      </c>
      <c r="R14" t="n">
        <v>70</v>
      </c>
      <c r="S14" t="n">
        <v>62</v>
      </c>
      <c r="T14" t="n">
        <v>55</v>
      </c>
      <c r="U14" t="n">
        <v>65</v>
      </c>
      <c r="V14" t="n">
        <v>60</v>
      </c>
      <c r="W14" t="n">
        <v>67</v>
      </c>
      <c r="X14" t="n">
        <v>62</v>
      </c>
      <c r="Y14" t="n">
        <v>62</v>
      </c>
      <c r="Z14" t="n">
        <v>79</v>
      </c>
      <c r="AA14" t="n">
        <v>76</v>
      </c>
      <c r="AB14" t="n">
        <v>72</v>
      </c>
      <c r="AC14" t="n">
        <v>65</v>
      </c>
      <c r="AD14" t="n">
        <v>65</v>
      </c>
      <c r="AE14" t="n">
        <v>9082</v>
      </c>
      <c r="AF14" t="n">
        <v>2004045</v>
      </c>
      <c r="AG14">
        <f>IF(ISNA(MATCH($C14,'_Overall_Model'!$A$2:$A$6,0)),"",ROUND(SUMPRODUCT(L14:AD14,INDEX('_Overall_Model'!$B$2:$T$6,MATCH($C14,'_Overall_Model'!$A$2:$A$6,0),0))+INDEX('_Overall_Model'!$U$2:$U$6,MATCH($C14,'_Overall_Model'!$A$2:$A$6,0))+INDEX('_Overall_Model'!$V$2:$V$6,MATCH($C14,'_Overall_Model'!$A$2:$A$6,0))*IF(Q14&gt;=75,99,IF(Q14&gt;=60,50,0))+INDEX('_Overall_Model'!$W$2:$W$6,MATCH($C14,'_Overall_Model'!$A$2:$A$6,0))*J14+INDEX('_Overall_Model'!$X$2:$X$6,MATCH($C14,'_Overall_Model'!$A$2:$A$6,0))*K14,0))</f>
        <v/>
      </c>
    </row>
    <row r="15">
      <c r="A15" t="inlineStr">
        <is>
          <t>Fabian</t>
        </is>
      </c>
      <c r="B15" t="inlineStr">
        <is>
          <t>John</t>
        </is>
      </c>
      <c r="C15" t="inlineStr">
        <is>
          <t>PF</t>
        </is>
      </c>
      <c r="D15" t="inlineStr">
        <is>
          <t>N/A</t>
        </is>
      </c>
      <c r="E15" t="n">
        <v>44</v>
      </c>
      <c r="F15" t="n">
        <v>2006</v>
      </c>
      <c r="G15" t="n">
        <v>4</v>
      </c>
      <c r="H15" t="n">
        <v>18</v>
      </c>
      <c r="J15" t="n">
        <v>1.98</v>
      </c>
      <c r="K15" t="n">
        <v>99</v>
      </c>
      <c r="L15" t="n">
        <v>75</v>
      </c>
      <c r="M15" t="n">
        <v>67</v>
      </c>
      <c r="N15" t="n">
        <v>63</v>
      </c>
      <c r="O15" t="n">
        <v>65</v>
      </c>
      <c r="P15" t="n">
        <v>72</v>
      </c>
      <c r="Q15" t="n">
        <v>74</v>
      </c>
      <c r="R15" t="n">
        <v>60</v>
      </c>
      <c r="S15" t="n">
        <v>58</v>
      </c>
      <c r="T15" t="n">
        <v>71</v>
      </c>
      <c r="U15" t="n">
        <v>76</v>
      </c>
      <c r="V15" t="n">
        <v>70</v>
      </c>
      <c r="W15" t="n">
        <v>60</v>
      </c>
      <c r="X15" t="n">
        <v>78</v>
      </c>
      <c r="Y15" t="n">
        <v>76</v>
      </c>
      <c r="Z15" t="n">
        <v>68</v>
      </c>
      <c r="AA15" t="n">
        <v>77</v>
      </c>
      <c r="AB15" t="n">
        <v>77</v>
      </c>
      <c r="AC15" t="n">
        <v>61</v>
      </c>
      <c r="AD15" t="n">
        <v>61</v>
      </c>
      <c r="AE15" t="n">
        <v>9081</v>
      </c>
      <c r="AF15" t="n">
        <v>2004032</v>
      </c>
      <c r="AG15">
        <f>IF(ISNA(MATCH($C15,'_Overall_Model'!$A$2:$A$6,0)),"",ROUND(SUMPRODUCT(L15:AD15,INDEX('_Overall_Model'!$B$2:$T$6,MATCH($C15,'_Overall_Model'!$A$2:$A$6,0),0))+INDEX('_Overall_Model'!$U$2:$U$6,MATCH($C15,'_Overall_Model'!$A$2:$A$6,0))+INDEX('_Overall_Model'!$V$2:$V$6,MATCH($C15,'_Overall_Model'!$A$2:$A$6,0))*IF(Q15&gt;=75,99,IF(Q15&gt;=60,50,0))+INDEX('_Overall_Model'!$W$2:$W$6,MATCH($C15,'_Overall_Model'!$A$2:$A$6,0))*J15+INDEX('_Overall_Model'!$X$2:$X$6,MATCH($C15,'_Overall_Model'!$A$2:$A$6,0))*K15,0)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6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Glen</t>
        </is>
      </c>
      <c r="B2" t="inlineStr">
        <is>
          <t>Abram Jr.</t>
        </is>
      </c>
      <c r="C2" t="inlineStr">
        <is>
          <t>PG</t>
        </is>
      </c>
      <c r="D2" t="inlineStr">
        <is>
          <t>N/A</t>
        </is>
      </c>
      <c r="E2" t="n">
        <v>28</v>
      </c>
      <c r="F2" t="n">
        <v>1998</v>
      </c>
      <c r="G2" t="n">
        <v>9</v>
      </c>
      <c r="H2" t="n">
        <v>28</v>
      </c>
      <c r="J2" t="n">
        <v>1.88</v>
      </c>
      <c r="K2" t="n">
        <v>88</v>
      </c>
      <c r="L2" t="n">
        <v>83</v>
      </c>
      <c r="M2" t="n">
        <v>88</v>
      </c>
      <c r="N2" t="n">
        <v>95</v>
      </c>
      <c r="O2" t="n">
        <v>69</v>
      </c>
      <c r="P2" t="n">
        <v>94</v>
      </c>
      <c r="Q2" t="n">
        <v>67</v>
      </c>
      <c r="R2" t="n">
        <v>99</v>
      </c>
      <c r="S2" t="n">
        <v>99</v>
      </c>
      <c r="T2" t="n">
        <v>62</v>
      </c>
      <c r="U2" t="n">
        <v>57</v>
      </c>
      <c r="V2" t="n">
        <v>57</v>
      </c>
      <c r="W2" t="n">
        <v>96</v>
      </c>
      <c r="X2" t="n">
        <v>61</v>
      </c>
      <c r="Y2" t="n">
        <v>63</v>
      </c>
      <c r="Z2" t="n">
        <v>95</v>
      </c>
      <c r="AA2" t="n">
        <v>88</v>
      </c>
      <c r="AB2" t="n">
        <v>83</v>
      </c>
      <c r="AC2" t="n">
        <v>82</v>
      </c>
      <c r="AD2" t="n">
        <v>81</v>
      </c>
      <c r="AE2" t="n">
        <v>9090</v>
      </c>
      <c r="AF2" t="n">
        <v>2004151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Moritz</t>
        </is>
      </c>
      <c r="B3" t="inlineStr">
        <is>
          <t>Plescher</t>
        </is>
      </c>
      <c r="C3" t="inlineStr">
        <is>
          <t>SG</t>
        </is>
      </c>
      <c r="D3" t="inlineStr">
        <is>
          <t>N/A</t>
        </is>
      </c>
      <c r="E3" t="n">
        <v>6</v>
      </c>
      <c r="F3" t="n">
        <v>2000</v>
      </c>
      <c r="G3" t="n">
        <v>10</v>
      </c>
      <c r="H3" t="n">
        <v>4</v>
      </c>
      <c r="J3" t="n">
        <v>1.95</v>
      </c>
      <c r="K3" t="n">
        <v>92</v>
      </c>
      <c r="L3" t="n">
        <v>82</v>
      </c>
      <c r="M3" t="n">
        <v>85</v>
      </c>
      <c r="N3" t="n">
        <v>94</v>
      </c>
      <c r="O3" t="n">
        <v>92</v>
      </c>
      <c r="P3" t="n">
        <v>86</v>
      </c>
      <c r="Q3" t="n">
        <v>70</v>
      </c>
      <c r="R3" t="n">
        <v>86</v>
      </c>
      <c r="S3" t="n">
        <v>77</v>
      </c>
      <c r="T3" t="n">
        <v>62</v>
      </c>
      <c r="U3" t="n">
        <v>65</v>
      </c>
      <c r="V3" t="n">
        <v>65</v>
      </c>
      <c r="W3" t="n">
        <v>85</v>
      </c>
      <c r="X3" t="n">
        <v>60</v>
      </c>
      <c r="Y3" t="n">
        <v>67</v>
      </c>
      <c r="Z3" t="n">
        <v>90</v>
      </c>
      <c r="AA3" t="n">
        <v>87</v>
      </c>
      <c r="AB3" t="n">
        <v>81</v>
      </c>
      <c r="AC3" t="n">
        <v>81</v>
      </c>
      <c r="AD3" t="n">
        <v>81</v>
      </c>
      <c r="AE3" t="n">
        <v>5026</v>
      </c>
      <c r="AF3" t="n">
        <v>6604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Luis</t>
        </is>
      </c>
      <c r="B4" t="inlineStr">
        <is>
          <t>Wulff</t>
        </is>
      </c>
      <c r="C4" t="inlineStr">
        <is>
          <t>SG</t>
        </is>
      </c>
      <c r="D4" t="inlineStr">
        <is>
          <t>N/A</t>
        </is>
      </c>
      <c r="E4" t="n">
        <v>7</v>
      </c>
      <c r="F4" t="n">
        <v>2004</v>
      </c>
      <c r="G4" t="n">
        <v>3</v>
      </c>
      <c r="H4" t="n">
        <v>14</v>
      </c>
      <c r="J4" t="n">
        <v>1.99</v>
      </c>
      <c r="K4" t="n">
        <v>95</v>
      </c>
      <c r="L4" t="n">
        <v>81</v>
      </c>
      <c r="M4" t="n">
        <v>84</v>
      </c>
      <c r="N4" t="n">
        <v>93</v>
      </c>
      <c r="O4" t="n">
        <v>60</v>
      </c>
      <c r="P4" t="n">
        <v>85</v>
      </c>
      <c r="Q4" t="n">
        <v>69</v>
      </c>
      <c r="R4" t="n">
        <v>85</v>
      </c>
      <c r="S4" t="n">
        <v>76</v>
      </c>
      <c r="T4" t="n">
        <v>61</v>
      </c>
      <c r="U4" t="n">
        <v>66</v>
      </c>
      <c r="V4" t="n">
        <v>64</v>
      </c>
      <c r="W4" t="n">
        <v>81</v>
      </c>
      <c r="X4" t="n">
        <v>59</v>
      </c>
      <c r="Y4" t="n">
        <v>64</v>
      </c>
      <c r="Z4" t="n">
        <v>89</v>
      </c>
      <c r="AA4" t="n">
        <v>86</v>
      </c>
      <c r="AB4" t="n">
        <v>80</v>
      </c>
      <c r="AC4" t="n">
        <v>78</v>
      </c>
      <c r="AD4" t="n">
        <v>80</v>
      </c>
      <c r="AE4" t="n">
        <v>9016</v>
      </c>
      <c r="AF4" t="n">
        <v>1400028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Collin</t>
        </is>
      </c>
      <c r="B5" t="inlineStr">
        <is>
          <t>Metcalf</t>
        </is>
      </c>
      <c r="C5" t="inlineStr">
        <is>
          <t>C</t>
        </is>
      </c>
      <c r="D5" t="inlineStr">
        <is>
          <t>N/A</t>
        </is>
      </c>
      <c r="E5" t="n">
        <v>45</v>
      </c>
      <c r="F5" t="n">
        <v>2003</v>
      </c>
      <c r="G5" t="n">
        <v>6</v>
      </c>
      <c r="H5" t="n">
        <v>27</v>
      </c>
      <c r="J5" t="n">
        <v>2.08</v>
      </c>
      <c r="K5" t="n">
        <v>111</v>
      </c>
      <c r="L5" t="n">
        <v>99</v>
      </c>
      <c r="M5" t="n">
        <v>73</v>
      </c>
      <c r="N5" t="n">
        <v>61</v>
      </c>
      <c r="O5" t="n">
        <v>69</v>
      </c>
      <c r="P5" t="n">
        <v>91</v>
      </c>
      <c r="Q5" t="n">
        <v>87</v>
      </c>
      <c r="R5" t="n">
        <v>59</v>
      </c>
      <c r="S5" t="n">
        <v>62</v>
      </c>
      <c r="T5" t="n">
        <v>87</v>
      </c>
      <c r="U5" t="n">
        <v>99</v>
      </c>
      <c r="V5" t="n">
        <v>98</v>
      </c>
      <c r="W5" t="n">
        <v>64</v>
      </c>
      <c r="X5" t="n">
        <v>92</v>
      </c>
      <c r="Y5" t="n">
        <v>97</v>
      </c>
      <c r="Z5" t="n">
        <v>58</v>
      </c>
      <c r="AA5" t="n">
        <v>88</v>
      </c>
      <c r="AB5" t="n">
        <v>90</v>
      </c>
      <c r="AC5" t="n">
        <v>73</v>
      </c>
      <c r="AD5" t="n">
        <v>76</v>
      </c>
      <c r="AE5" t="n">
        <v>9048</v>
      </c>
      <c r="AF5" t="n">
        <v>2003199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Simon</t>
        </is>
      </c>
      <c r="B6" t="inlineStr">
        <is>
          <t>Hildebrandt</t>
        </is>
      </c>
      <c r="C6" t="inlineStr">
        <is>
          <t>PF</t>
        </is>
      </c>
      <c r="D6" t="inlineStr">
        <is>
          <t>N/A</t>
        </is>
      </c>
      <c r="E6" t="n">
        <v>55</v>
      </c>
      <c r="F6" t="n">
        <v>2003</v>
      </c>
      <c r="G6" t="n">
        <v>3</v>
      </c>
      <c r="H6" t="n">
        <v>17</v>
      </c>
      <c r="J6" t="n">
        <v>2.05</v>
      </c>
      <c r="K6" t="n">
        <v>108</v>
      </c>
      <c r="L6" t="n">
        <v>86</v>
      </c>
      <c r="M6" t="n">
        <v>78</v>
      </c>
      <c r="N6" t="n">
        <v>74</v>
      </c>
      <c r="O6" t="n">
        <v>60</v>
      </c>
      <c r="P6" t="n">
        <v>83</v>
      </c>
      <c r="Q6" t="n">
        <v>82</v>
      </c>
      <c r="R6" t="n">
        <v>67</v>
      </c>
      <c r="S6" t="n">
        <v>69</v>
      </c>
      <c r="T6" t="n">
        <v>81</v>
      </c>
      <c r="U6" t="n">
        <v>88</v>
      </c>
      <c r="V6" t="n">
        <v>79</v>
      </c>
      <c r="W6" t="n">
        <v>69</v>
      </c>
      <c r="X6" t="n">
        <v>87</v>
      </c>
      <c r="Y6" t="n">
        <v>70</v>
      </c>
      <c r="Z6" t="n">
        <v>68</v>
      </c>
      <c r="AA6" t="n">
        <v>86</v>
      </c>
      <c r="AB6" t="n">
        <v>86</v>
      </c>
      <c r="AC6" t="n">
        <v>75</v>
      </c>
      <c r="AD6" t="n">
        <v>77</v>
      </c>
      <c r="AE6" t="n">
        <v>9061</v>
      </c>
      <c r="AF6" t="n">
        <v>2003942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Kevin</t>
        </is>
      </c>
      <c r="B7" t="inlineStr">
        <is>
          <t>Wohlrath</t>
        </is>
      </c>
      <c r="C7" t="inlineStr">
        <is>
          <t>SF</t>
        </is>
      </c>
      <c r="D7" t="inlineStr">
        <is>
          <t>N/A</t>
        </is>
      </c>
      <c r="E7" t="n">
        <v>8</v>
      </c>
      <c r="F7" t="n">
        <v>1995</v>
      </c>
      <c r="G7" t="n">
        <v>2</v>
      </c>
      <c r="H7" t="n">
        <v>15</v>
      </c>
      <c r="J7" t="n">
        <v>1.97</v>
      </c>
      <c r="K7" t="n">
        <v>92</v>
      </c>
      <c r="L7" t="n">
        <v>82</v>
      </c>
      <c r="M7" t="n">
        <v>82</v>
      </c>
      <c r="N7" t="n">
        <v>82</v>
      </c>
      <c r="O7" t="n">
        <v>69</v>
      </c>
      <c r="P7" t="n">
        <v>86</v>
      </c>
      <c r="Q7" t="n">
        <v>76</v>
      </c>
      <c r="R7" t="n">
        <v>79</v>
      </c>
      <c r="S7" t="n">
        <v>75</v>
      </c>
      <c r="T7" t="n">
        <v>64</v>
      </c>
      <c r="U7" t="n">
        <v>74</v>
      </c>
      <c r="V7" t="n">
        <v>69</v>
      </c>
      <c r="W7" t="n">
        <v>76</v>
      </c>
      <c r="X7" t="n">
        <v>74</v>
      </c>
      <c r="Y7" t="n">
        <v>71</v>
      </c>
      <c r="Z7" t="n">
        <v>81</v>
      </c>
      <c r="AA7" t="n">
        <v>82</v>
      </c>
      <c r="AB7" t="n">
        <v>84</v>
      </c>
      <c r="AC7" t="n">
        <v>81</v>
      </c>
      <c r="AD7" t="n">
        <v>85</v>
      </c>
      <c r="AE7" t="n">
        <v>9006</v>
      </c>
      <c r="AF7" t="n">
        <v>1400007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Taje</t>
        </is>
      </c>
      <c r="B8" t="inlineStr">
        <is>
          <t>Kelly</t>
        </is>
      </c>
      <c r="C8" t="inlineStr">
        <is>
          <t>PF</t>
        </is>
      </c>
      <c r="D8" t="inlineStr">
        <is>
          <t>N/A</t>
        </is>
      </c>
      <c r="E8" t="n">
        <v>2</v>
      </c>
      <c r="F8" t="n">
        <v>2003</v>
      </c>
      <c r="G8" t="n">
        <v>1</v>
      </c>
      <c r="H8" t="n">
        <v>3</v>
      </c>
      <c r="J8" t="n">
        <v>2</v>
      </c>
      <c r="K8" t="n">
        <v>108</v>
      </c>
      <c r="L8" t="n">
        <v>83</v>
      </c>
      <c r="M8" t="n">
        <v>75</v>
      </c>
      <c r="N8" t="n">
        <v>60</v>
      </c>
      <c r="O8" t="n">
        <v>78</v>
      </c>
      <c r="P8" t="n">
        <v>80</v>
      </c>
      <c r="Q8" t="n">
        <v>80</v>
      </c>
      <c r="R8" t="n">
        <v>65</v>
      </c>
      <c r="S8" t="n">
        <v>68</v>
      </c>
      <c r="T8" t="n">
        <v>79</v>
      </c>
      <c r="U8" t="n">
        <v>87</v>
      </c>
      <c r="V8" t="n">
        <v>78</v>
      </c>
      <c r="W8" t="n">
        <v>68</v>
      </c>
      <c r="X8" t="n">
        <v>86</v>
      </c>
      <c r="Y8" t="n">
        <v>70</v>
      </c>
      <c r="Z8" t="n">
        <v>67</v>
      </c>
      <c r="AA8" t="n">
        <v>85</v>
      </c>
      <c r="AB8" t="n">
        <v>85</v>
      </c>
      <c r="AC8" t="n">
        <v>74</v>
      </c>
      <c r="AD8" t="n">
        <v>74</v>
      </c>
      <c r="AE8" t="n">
        <v>9024</v>
      </c>
      <c r="AF8" t="n">
        <v>2001623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Matt</t>
        </is>
      </c>
      <c r="B9" t="inlineStr">
        <is>
          <t>Frierson</t>
        </is>
      </c>
      <c r="C9" t="inlineStr">
        <is>
          <t>SG</t>
        </is>
      </c>
      <c r="D9" t="inlineStr">
        <is>
          <t>N/A</t>
        </is>
      </c>
      <c r="E9" t="n">
        <v>3</v>
      </c>
      <c r="F9" t="n">
        <v>1997</v>
      </c>
      <c r="G9" t="n">
        <v>5</v>
      </c>
      <c r="H9" t="n">
        <v>2</v>
      </c>
      <c r="J9" t="n">
        <v>1.85</v>
      </c>
      <c r="K9" t="n">
        <v>68</v>
      </c>
      <c r="L9" t="n">
        <v>80</v>
      </c>
      <c r="M9" t="n">
        <v>83</v>
      </c>
      <c r="N9" t="n">
        <v>97</v>
      </c>
      <c r="O9" t="n">
        <v>93</v>
      </c>
      <c r="P9" t="n">
        <v>87</v>
      </c>
      <c r="Q9" t="n">
        <v>66</v>
      </c>
      <c r="R9" t="n">
        <v>86</v>
      </c>
      <c r="S9" t="n">
        <v>75</v>
      </c>
      <c r="T9" t="n">
        <v>60</v>
      </c>
      <c r="U9" t="n">
        <v>59</v>
      </c>
      <c r="V9" t="n">
        <v>59</v>
      </c>
      <c r="W9" t="n">
        <v>80</v>
      </c>
      <c r="X9" t="n">
        <v>58</v>
      </c>
      <c r="Y9" t="n">
        <v>63</v>
      </c>
      <c r="Z9" t="n">
        <v>94</v>
      </c>
      <c r="AA9" t="n">
        <v>85</v>
      </c>
      <c r="AB9" t="n">
        <v>79</v>
      </c>
      <c r="AC9" t="n">
        <v>77</v>
      </c>
      <c r="AD9" t="n">
        <v>79</v>
      </c>
      <c r="AE9" t="n">
        <v>9054</v>
      </c>
      <c r="AF9" t="n">
        <v>2003855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Joshua</t>
        </is>
      </c>
      <c r="B10" t="inlineStr">
        <is>
          <t>Bonga</t>
        </is>
      </c>
      <c r="C10" t="inlineStr">
        <is>
          <t>PG</t>
        </is>
      </c>
      <c r="D10" t="inlineStr">
        <is>
          <t>N/A</t>
        </is>
      </c>
      <c r="E10" t="n">
        <v>0</v>
      </c>
      <c r="F10" t="n">
        <v>2005</v>
      </c>
      <c r="G10" t="n">
        <v>1</v>
      </c>
      <c r="H10" t="n">
        <v>13</v>
      </c>
      <c r="J10" t="n">
        <v>1.9</v>
      </c>
      <c r="K10" t="n">
        <v>86</v>
      </c>
      <c r="L10" t="n">
        <v>77</v>
      </c>
      <c r="M10" t="n">
        <v>82</v>
      </c>
      <c r="N10" t="n">
        <v>84</v>
      </c>
      <c r="O10" t="n">
        <v>60</v>
      </c>
      <c r="P10" t="n">
        <v>88</v>
      </c>
      <c r="Q10" t="n">
        <v>64</v>
      </c>
      <c r="R10" t="n">
        <v>93</v>
      </c>
      <c r="S10" t="n">
        <v>87</v>
      </c>
      <c r="T10" t="n">
        <v>57</v>
      </c>
      <c r="U10" t="n">
        <v>53</v>
      </c>
      <c r="V10" t="n">
        <v>53</v>
      </c>
      <c r="W10" t="n">
        <v>89</v>
      </c>
      <c r="X10" t="n">
        <v>57</v>
      </c>
      <c r="Y10" t="n">
        <v>57</v>
      </c>
      <c r="Z10" t="n">
        <v>95</v>
      </c>
      <c r="AA10" t="n">
        <v>84</v>
      </c>
      <c r="AB10" t="n">
        <v>79</v>
      </c>
      <c r="AC10" t="n">
        <v>72</v>
      </c>
      <c r="AD10" t="n">
        <v>72</v>
      </c>
      <c r="AE10" t="n">
        <v>9004</v>
      </c>
      <c r="AF10" t="n">
        <v>1400003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Emanuel</t>
        </is>
      </c>
      <c r="B11" t="inlineStr">
        <is>
          <t>Prospere II</t>
        </is>
      </c>
      <c r="C11" t="inlineStr">
        <is>
          <t>SG</t>
        </is>
      </c>
      <c r="D11" t="inlineStr">
        <is>
          <t>N/A</t>
        </is>
      </c>
      <c r="E11" t="n">
        <v>12</v>
      </c>
      <c r="F11" t="n">
        <v>2001</v>
      </c>
      <c r="G11" t="n">
        <v>7</v>
      </c>
      <c r="H11" t="n">
        <v>26</v>
      </c>
      <c r="J11" t="n">
        <v>1.95</v>
      </c>
      <c r="K11" t="n">
        <v>101</v>
      </c>
      <c r="L11" t="n">
        <v>84</v>
      </c>
      <c r="M11" t="n">
        <v>81</v>
      </c>
      <c r="N11" t="n">
        <v>60</v>
      </c>
      <c r="O11" t="n">
        <v>91</v>
      </c>
      <c r="P11" t="n">
        <v>88</v>
      </c>
      <c r="Q11" t="n">
        <v>66</v>
      </c>
      <c r="R11" t="n">
        <v>81</v>
      </c>
      <c r="S11" t="n">
        <v>73</v>
      </c>
      <c r="T11" t="n">
        <v>60</v>
      </c>
      <c r="U11" t="n">
        <v>63</v>
      </c>
      <c r="V11" t="n">
        <v>61</v>
      </c>
      <c r="W11" t="n">
        <v>78</v>
      </c>
      <c r="X11" t="n">
        <v>56</v>
      </c>
      <c r="Y11" t="n">
        <v>61</v>
      </c>
      <c r="Z11" t="n">
        <v>86</v>
      </c>
      <c r="AA11" t="n">
        <v>83</v>
      </c>
      <c r="AB11" t="n">
        <v>77</v>
      </c>
      <c r="AC11" t="n">
        <v>75</v>
      </c>
      <c r="AD11" t="n">
        <v>76</v>
      </c>
      <c r="AE11" t="n">
        <v>9055</v>
      </c>
      <c r="AF11" t="n">
        <v>2003858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Chris</t>
        </is>
      </c>
      <c r="B12" t="inlineStr">
        <is>
          <t>Würmseher</t>
        </is>
      </c>
      <c r="C12" t="inlineStr">
        <is>
          <t>SF</t>
        </is>
      </c>
      <c r="D12" t="inlineStr">
        <is>
          <t>N/A</t>
        </is>
      </c>
      <c r="E12" t="n">
        <v>44</v>
      </c>
      <c r="F12" t="n">
        <v>1997</v>
      </c>
      <c r="G12" t="n">
        <v>1</v>
      </c>
      <c r="H12" t="n">
        <v>3</v>
      </c>
      <c r="J12" t="n">
        <v>1.93</v>
      </c>
      <c r="K12" t="n">
        <v>97</v>
      </c>
      <c r="L12" t="n">
        <v>78</v>
      </c>
      <c r="M12" t="n">
        <v>78</v>
      </c>
      <c r="N12" t="n">
        <v>60</v>
      </c>
      <c r="O12" t="n">
        <v>60</v>
      </c>
      <c r="P12" t="n">
        <v>82</v>
      </c>
      <c r="Q12" t="n">
        <v>72</v>
      </c>
      <c r="R12" t="n">
        <v>75</v>
      </c>
      <c r="S12" t="n">
        <v>69</v>
      </c>
      <c r="T12" t="n">
        <v>60</v>
      </c>
      <c r="U12" t="n">
        <v>72</v>
      </c>
      <c r="V12" t="n">
        <v>65</v>
      </c>
      <c r="W12" t="n">
        <v>72</v>
      </c>
      <c r="X12" t="n">
        <v>67</v>
      </c>
      <c r="Y12" t="n">
        <v>67</v>
      </c>
      <c r="Z12" t="n">
        <v>80</v>
      </c>
      <c r="AA12" t="n">
        <v>81</v>
      </c>
      <c r="AB12" t="n">
        <v>77</v>
      </c>
      <c r="AC12" t="n">
        <v>74</v>
      </c>
      <c r="AD12" t="n">
        <v>76</v>
      </c>
      <c r="AE12" t="n">
        <v>5151</v>
      </c>
      <c r="AF12" t="n">
        <v>2001627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Leroy</t>
        </is>
      </c>
      <c r="B13" t="inlineStr">
        <is>
          <t>Ikejiaku</t>
        </is>
      </c>
      <c r="C13" t="inlineStr">
        <is>
          <t>C</t>
        </is>
      </c>
      <c r="D13" t="inlineStr">
        <is>
          <t>N/A</t>
        </is>
      </c>
      <c r="E13" t="n">
        <v>22</v>
      </c>
      <c r="F13" t="n">
        <v>2004</v>
      </c>
      <c r="G13" t="n">
        <v>11</v>
      </c>
      <c r="H13" t="n">
        <v>29</v>
      </c>
      <c r="J13" t="n">
        <v>2.08</v>
      </c>
      <c r="K13" t="n">
        <v>100</v>
      </c>
      <c r="L13" t="n">
        <v>87</v>
      </c>
      <c r="M13" t="n">
        <v>67</v>
      </c>
      <c r="N13" t="n">
        <v>55</v>
      </c>
      <c r="O13" t="n">
        <v>69</v>
      </c>
      <c r="P13" t="n">
        <v>78</v>
      </c>
      <c r="Q13" t="n">
        <v>82</v>
      </c>
      <c r="R13" t="n">
        <v>55</v>
      </c>
      <c r="S13" t="n">
        <v>58</v>
      </c>
      <c r="T13" t="n">
        <v>80</v>
      </c>
      <c r="U13" t="n">
        <v>88</v>
      </c>
      <c r="V13" t="n">
        <v>87</v>
      </c>
      <c r="W13" t="n">
        <v>60</v>
      </c>
      <c r="X13" t="n">
        <v>85</v>
      </c>
      <c r="Y13" t="n">
        <v>88</v>
      </c>
      <c r="Z13" t="n">
        <v>57</v>
      </c>
      <c r="AA13" t="n">
        <v>84</v>
      </c>
      <c r="AB13" t="n">
        <v>83</v>
      </c>
      <c r="AC13" t="n">
        <v>67</v>
      </c>
      <c r="AD13" t="n">
        <v>71</v>
      </c>
      <c r="AE13" t="n">
        <v>5153</v>
      </c>
      <c r="AF13" t="n">
        <v>2001629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  <row r="14">
      <c r="A14" t="inlineStr">
        <is>
          <t>Noah</t>
        </is>
      </c>
      <c r="B14" t="inlineStr">
        <is>
          <t>Wabersich</t>
        </is>
      </c>
      <c r="C14" t="inlineStr">
        <is>
          <t>PG</t>
        </is>
      </c>
      <c r="D14" t="inlineStr">
        <is>
          <t>N/A</t>
        </is>
      </c>
      <c r="E14" t="n">
        <v>9</v>
      </c>
      <c r="F14" t="n">
        <v>2004</v>
      </c>
      <c r="G14" t="n">
        <v>6</v>
      </c>
      <c r="H14" t="n">
        <v>6</v>
      </c>
      <c r="J14" t="n">
        <v>1.92</v>
      </c>
      <c r="K14" t="n">
        <v>81</v>
      </c>
      <c r="L14" t="n">
        <v>73</v>
      </c>
      <c r="M14" t="n">
        <v>78</v>
      </c>
      <c r="N14" t="n">
        <v>80</v>
      </c>
      <c r="O14" t="n">
        <v>88</v>
      </c>
      <c r="P14" t="n">
        <v>84</v>
      </c>
      <c r="Q14" t="n">
        <v>58</v>
      </c>
      <c r="R14" t="n">
        <v>89</v>
      </c>
      <c r="S14" t="n">
        <v>85</v>
      </c>
      <c r="T14" t="n">
        <v>53</v>
      </c>
      <c r="U14" t="n">
        <v>50</v>
      </c>
      <c r="V14" t="n">
        <v>50</v>
      </c>
      <c r="W14" t="n">
        <v>85</v>
      </c>
      <c r="X14" t="n">
        <v>53</v>
      </c>
      <c r="Y14" t="n">
        <v>53</v>
      </c>
      <c r="Z14" t="n">
        <v>89</v>
      </c>
      <c r="AA14" t="n">
        <v>80</v>
      </c>
      <c r="AB14" t="n">
        <v>75</v>
      </c>
      <c r="AC14" t="n">
        <v>72</v>
      </c>
      <c r="AD14" t="n">
        <v>74</v>
      </c>
      <c r="AE14" t="n">
        <v>5149</v>
      </c>
      <c r="AF14" t="n">
        <v>2001622</v>
      </c>
      <c r="AG14">
        <f>IF(ISNA(MATCH($C14,'_Overall_Model'!$A$2:$A$6,0)),"",ROUND(SUMPRODUCT(L14:AD14,INDEX('_Overall_Model'!$B$2:$T$6,MATCH($C14,'_Overall_Model'!$A$2:$A$6,0),0))+INDEX('_Overall_Model'!$U$2:$U$6,MATCH($C14,'_Overall_Model'!$A$2:$A$6,0))+INDEX('_Overall_Model'!$V$2:$V$6,MATCH($C14,'_Overall_Model'!$A$2:$A$6,0))*IF(Q14&gt;=75,99,IF(Q14&gt;=60,50,0))+INDEX('_Overall_Model'!$W$2:$W$6,MATCH($C14,'_Overall_Model'!$A$2:$A$6,0))*J14+INDEX('_Overall_Model'!$X$2:$X$6,MATCH($C14,'_Overall_Model'!$A$2:$A$6,0))*K14,0))</f>
        <v/>
      </c>
    </row>
    <row r="15">
      <c r="A15" t="inlineStr">
        <is>
          <t>Leo</t>
        </is>
      </c>
      <c r="B15" t="inlineStr">
        <is>
          <t>Friedlein</t>
        </is>
      </c>
      <c r="C15" t="inlineStr">
        <is>
          <t>SG</t>
        </is>
      </c>
      <c r="D15" t="inlineStr">
        <is>
          <t>N/A</t>
        </is>
      </c>
      <c r="E15" t="n">
        <v>20</v>
      </c>
      <c r="F15" t="n">
        <v>2009</v>
      </c>
      <c r="G15" t="n">
        <v>2</v>
      </c>
      <c r="H15" t="n">
        <v>1</v>
      </c>
      <c r="J15" t="n">
        <v>1.9</v>
      </c>
      <c r="K15" t="n">
        <v>81</v>
      </c>
      <c r="L15" t="n">
        <v>74</v>
      </c>
      <c r="M15" t="n">
        <v>77</v>
      </c>
      <c r="N15" t="n">
        <v>79</v>
      </c>
      <c r="O15" t="n">
        <v>79</v>
      </c>
      <c r="P15" t="n">
        <v>81</v>
      </c>
      <c r="Q15" t="n">
        <v>62</v>
      </c>
      <c r="R15" t="n">
        <v>80</v>
      </c>
      <c r="S15" t="n">
        <v>67</v>
      </c>
      <c r="T15" t="n">
        <v>54</v>
      </c>
      <c r="U15" t="n">
        <v>53</v>
      </c>
      <c r="V15" t="n">
        <v>53</v>
      </c>
      <c r="W15" t="n">
        <v>74</v>
      </c>
      <c r="X15" t="n">
        <v>52</v>
      </c>
      <c r="Y15" t="n">
        <v>57</v>
      </c>
      <c r="Z15" t="n">
        <v>90</v>
      </c>
      <c r="AA15" t="n">
        <v>79</v>
      </c>
      <c r="AB15" t="n">
        <v>73</v>
      </c>
      <c r="AC15" t="n">
        <v>67</v>
      </c>
      <c r="AD15" t="n">
        <v>67</v>
      </c>
      <c r="AE15" t="n">
        <v>5150</v>
      </c>
      <c r="AF15" t="n">
        <v>2001626</v>
      </c>
      <c r="AG15">
        <f>IF(ISNA(MATCH($C15,'_Overall_Model'!$A$2:$A$6,0)),"",ROUND(SUMPRODUCT(L15:AD15,INDEX('_Overall_Model'!$B$2:$T$6,MATCH($C15,'_Overall_Model'!$A$2:$A$6,0),0))+INDEX('_Overall_Model'!$U$2:$U$6,MATCH($C15,'_Overall_Model'!$A$2:$A$6,0))+INDEX('_Overall_Model'!$V$2:$V$6,MATCH($C15,'_Overall_Model'!$A$2:$A$6,0))*IF(Q15&gt;=75,99,IF(Q15&gt;=60,50,0))+INDEX('_Overall_Model'!$W$2:$W$6,MATCH($C15,'_Overall_Model'!$A$2:$A$6,0))*J15+INDEX('_Overall_Model'!$X$2:$X$6,MATCH($C15,'_Overall_Model'!$A$2:$A$6,0))*K15,0))</f>
        <v/>
      </c>
    </row>
    <row r="16">
      <c r="A16" t="inlineStr">
        <is>
          <t>Liam</t>
        </is>
      </c>
      <c r="B16" t="inlineStr">
        <is>
          <t>Holländer</t>
        </is>
      </c>
      <c r="C16" t="inlineStr">
        <is>
          <t>SF</t>
        </is>
      </c>
      <c r="D16" t="inlineStr">
        <is>
          <t>N/A</t>
        </is>
      </c>
      <c r="E16" t="n">
        <v>17</v>
      </c>
      <c r="F16" t="n">
        <v>2008</v>
      </c>
      <c r="G16" t="n">
        <v>6</v>
      </c>
      <c r="H16" t="n">
        <v>17</v>
      </c>
      <c r="J16" t="n">
        <v>1.94</v>
      </c>
      <c r="K16" t="n">
        <v>79</v>
      </c>
      <c r="L16" t="n">
        <v>74</v>
      </c>
      <c r="M16" t="n">
        <v>74</v>
      </c>
      <c r="N16" t="n">
        <v>67</v>
      </c>
      <c r="O16" t="n">
        <v>60</v>
      </c>
      <c r="P16" t="n">
        <v>78</v>
      </c>
      <c r="Q16" t="n">
        <v>70</v>
      </c>
      <c r="R16" t="n">
        <v>71</v>
      </c>
      <c r="S16" t="n">
        <v>63</v>
      </c>
      <c r="T16" t="n">
        <v>56</v>
      </c>
      <c r="U16" t="n">
        <v>66</v>
      </c>
      <c r="V16" t="n">
        <v>61</v>
      </c>
      <c r="W16" t="n">
        <v>68</v>
      </c>
      <c r="X16" t="n">
        <v>63</v>
      </c>
      <c r="Y16" t="n">
        <v>63</v>
      </c>
      <c r="Z16" t="n">
        <v>82</v>
      </c>
      <c r="AA16" t="n">
        <v>77</v>
      </c>
      <c r="AB16" t="n">
        <v>73</v>
      </c>
      <c r="AC16" t="n">
        <v>66</v>
      </c>
      <c r="AD16" t="n">
        <v>66</v>
      </c>
      <c r="AE16" t="n">
        <v>5104</v>
      </c>
      <c r="AF16" t="n">
        <v>2001288</v>
      </c>
      <c r="AG16">
        <f>IF(ISNA(MATCH($C16,'_Overall_Model'!$A$2:$A$6,0)),"",ROUND(SUMPRODUCT(L16:AD16,INDEX('_Overall_Model'!$B$2:$T$6,MATCH($C16,'_Overall_Model'!$A$2:$A$6,0),0))+INDEX('_Overall_Model'!$U$2:$U$6,MATCH($C16,'_Overall_Model'!$A$2:$A$6,0))+INDEX('_Overall_Model'!$V$2:$V$6,MATCH($C16,'_Overall_Model'!$A$2:$A$6,0))*IF(Q16&gt;=75,99,IF(Q16&gt;=60,50,0))+INDEX('_Overall_Model'!$W$2:$W$6,MATCH($C16,'_Overall_Model'!$A$2:$A$6,0))*J16+INDEX('_Overall_Model'!$X$2:$X$6,MATCH($C16,'_Overall_Model'!$A$2:$A$6,0))*K16,0)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6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Lukas</t>
        </is>
      </c>
      <c r="B2" t="inlineStr">
        <is>
          <t>Roth</t>
        </is>
      </c>
      <c r="C2" t="inlineStr">
        <is>
          <t>PG</t>
        </is>
      </c>
      <c r="D2" t="inlineStr">
        <is>
          <t>N/A</t>
        </is>
      </c>
      <c r="E2" t="n">
        <v>29</v>
      </c>
      <c r="F2" t="n">
        <v>2002</v>
      </c>
      <c r="G2" t="n">
        <v>4</v>
      </c>
      <c r="H2" t="n">
        <v>9</v>
      </c>
      <c r="J2" t="n">
        <v>1.89</v>
      </c>
      <c r="K2" t="n">
        <v>91</v>
      </c>
      <c r="L2" t="n">
        <v>83</v>
      </c>
      <c r="M2" t="n">
        <v>88</v>
      </c>
      <c r="N2" t="n">
        <v>67</v>
      </c>
      <c r="O2" t="n">
        <v>60</v>
      </c>
      <c r="P2" t="n">
        <v>94</v>
      </c>
      <c r="Q2" t="n">
        <v>67</v>
      </c>
      <c r="R2" t="n">
        <v>96</v>
      </c>
      <c r="S2" t="n">
        <v>93</v>
      </c>
      <c r="T2" t="n">
        <v>62</v>
      </c>
      <c r="U2" t="n">
        <v>57</v>
      </c>
      <c r="V2" t="n">
        <v>57</v>
      </c>
      <c r="W2" t="n">
        <v>99</v>
      </c>
      <c r="X2" t="n">
        <v>64</v>
      </c>
      <c r="Y2" t="n">
        <v>63</v>
      </c>
      <c r="Z2" t="n">
        <v>95</v>
      </c>
      <c r="AA2" t="n">
        <v>88</v>
      </c>
      <c r="AB2" t="n">
        <v>86</v>
      </c>
      <c r="AC2" t="n">
        <v>83</v>
      </c>
      <c r="AD2" t="n">
        <v>82</v>
      </c>
      <c r="AE2" t="n">
        <v>9010</v>
      </c>
      <c r="AF2" t="n">
        <v>1400013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Kevin</t>
        </is>
      </c>
      <c r="B3" t="inlineStr">
        <is>
          <t>McClain</t>
        </is>
      </c>
      <c r="C3" t="inlineStr">
        <is>
          <t>PG</t>
        </is>
      </c>
      <c r="D3" t="inlineStr">
        <is>
          <t>N/A</t>
        </is>
      </c>
      <c r="E3" t="n">
        <v>3</v>
      </c>
      <c r="F3" t="n">
        <v>1996</v>
      </c>
      <c r="G3" t="n">
        <v>10</v>
      </c>
      <c r="H3" t="n">
        <v>21</v>
      </c>
      <c r="J3" t="n">
        <v>1.91</v>
      </c>
      <c r="K3" t="n">
        <v>86</v>
      </c>
      <c r="L3" t="n">
        <v>81</v>
      </c>
      <c r="M3" t="n">
        <v>86</v>
      </c>
      <c r="N3" t="n">
        <v>67</v>
      </c>
      <c r="O3" t="n">
        <v>94</v>
      </c>
      <c r="P3" t="n">
        <v>92</v>
      </c>
      <c r="Q3" t="n">
        <v>65</v>
      </c>
      <c r="R3" t="n">
        <v>97</v>
      </c>
      <c r="S3" t="n">
        <v>96</v>
      </c>
      <c r="T3" t="n">
        <v>60</v>
      </c>
      <c r="U3" t="n">
        <v>55</v>
      </c>
      <c r="V3" t="n">
        <v>55</v>
      </c>
      <c r="W3" t="n">
        <v>98</v>
      </c>
      <c r="X3" t="n">
        <v>59</v>
      </c>
      <c r="Y3" t="n">
        <v>59</v>
      </c>
      <c r="Z3" t="n">
        <v>90</v>
      </c>
      <c r="AA3" t="n">
        <v>83</v>
      </c>
      <c r="AB3" t="n">
        <v>81</v>
      </c>
      <c r="AC3" t="n">
        <v>83</v>
      </c>
      <c r="AD3" t="n">
        <v>86</v>
      </c>
      <c r="AE3" t="n">
        <v>9023</v>
      </c>
      <c r="AF3" t="n">
        <v>2001528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Charles Tyrone</t>
        </is>
      </c>
      <c r="B4" t="inlineStr">
        <is>
          <t>Harris Jr.</t>
        </is>
      </c>
      <c r="C4" t="inlineStr">
        <is>
          <t>SG</t>
        </is>
      </c>
      <c r="D4" t="inlineStr">
        <is>
          <t>N/A</t>
        </is>
      </c>
      <c r="E4" t="n">
        <v>0</v>
      </c>
      <c r="F4" t="n">
        <v>2001</v>
      </c>
      <c r="G4" t="n">
        <v>9</v>
      </c>
      <c r="H4" t="n">
        <v>21</v>
      </c>
      <c r="J4" t="n">
        <v>1.88</v>
      </c>
      <c r="K4" t="n">
        <v>86</v>
      </c>
      <c r="L4" t="n">
        <v>83</v>
      </c>
      <c r="M4" t="n">
        <v>86</v>
      </c>
      <c r="N4" t="n">
        <v>95</v>
      </c>
      <c r="O4" t="n">
        <v>91</v>
      </c>
      <c r="P4" t="n">
        <v>90</v>
      </c>
      <c r="Q4" t="n">
        <v>68</v>
      </c>
      <c r="R4" t="n">
        <v>93</v>
      </c>
      <c r="S4" t="n">
        <v>80</v>
      </c>
      <c r="T4" t="n">
        <v>62</v>
      </c>
      <c r="U4" t="n">
        <v>60</v>
      </c>
      <c r="V4" t="n">
        <v>60</v>
      </c>
      <c r="W4" t="n">
        <v>81</v>
      </c>
      <c r="X4" t="n">
        <v>59</v>
      </c>
      <c r="Y4" t="n">
        <v>66</v>
      </c>
      <c r="Z4" t="n">
        <v>91</v>
      </c>
      <c r="AA4" t="n">
        <v>86</v>
      </c>
      <c r="AB4" t="n">
        <v>80</v>
      </c>
      <c r="AC4" t="n">
        <v>79</v>
      </c>
      <c r="AD4" t="n">
        <v>81</v>
      </c>
      <c r="AE4" t="n">
        <v>9063</v>
      </c>
      <c r="AF4" t="n">
        <v>2003953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Joschka</t>
        </is>
      </c>
      <c r="B5" t="inlineStr">
        <is>
          <t>Ferner</t>
        </is>
      </c>
      <c r="C5" t="inlineStr">
        <is>
          <t>PF</t>
        </is>
      </c>
      <c r="D5" t="inlineStr">
        <is>
          <t>N/A</t>
        </is>
      </c>
      <c r="E5" t="n">
        <v>15</v>
      </c>
      <c r="F5" t="n">
        <v>1996</v>
      </c>
      <c r="G5" t="n">
        <v>1</v>
      </c>
      <c r="H5" t="n">
        <v>5</v>
      </c>
      <c r="J5" t="n">
        <v>2.03</v>
      </c>
      <c r="K5" t="n">
        <v>92</v>
      </c>
      <c r="L5" t="n">
        <v>84</v>
      </c>
      <c r="M5" t="n">
        <v>76</v>
      </c>
      <c r="N5" t="n">
        <v>84</v>
      </c>
      <c r="O5" t="n">
        <v>79</v>
      </c>
      <c r="P5" t="n">
        <v>81</v>
      </c>
      <c r="Q5" t="n">
        <v>81</v>
      </c>
      <c r="R5" t="n">
        <v>67</v>
      </c>
      <c r="S5" t="n">
        <v>71</v>
      </c>
      <c r="T5" t="n">
        <v>80</v>
      </c>
      <c r="U5" t="n">
        <v>83</v>
      </c>
      <c r="V5" t="n">
        <v>79</v>
      </c>
      <c r="W5" t="n">
        <v>69</v>
      </c>
      <c r="X5" t="n">
        <v>87</v>
      </c>
      <c r="Y5" t="n">
        <v>85</v>
      </c>
      <c r="Z5" t="n">
        <v>68</v>
      </c>
      <c r="AA5" t="n">
        <v>83</v>
      </c>
      <c r="AB5" t="n">
        <v>86</v>
      </c>
      <c r="AC5" t="n">
        <v>77</v>
      </c>
      <c r="AD5" t="n">
        <v>81</v>
      </c>
      <c r="AE5" t="n">
        <v>9049</v>
      </c>
      <c r="AF5" t="n">
        <v>2003786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Nicholas Ryan</t>
        </is>
      </c>
      <c r="B6" t="inlineStr">
        <is>
          <t>Muszynski</t>
        </is>
      </c>
      <c r="C6" t="inlineStr">
        <is>
          <t>C</t>
        </is>
      </c>
      <c r="D6" t="inlineStr">
        <is>
          <t>N/A</t>
        </is>
      </c>
      <c r="E6" t="n">
        <v>33</v>
      </c>
      <c r="F6" t="n">
        <v>1998</v>
      </c>
      <c r="G6" t="n">
        <v>11</v>
      </c>
      <c r="H6" t="n">
        <v>19</v>
      </c>
      <c r="J6" t="n">
        <v>2.11</v>
      </c>
      <c r="K6" t="n">
        <v>109</v>
      </c>
      <c r="L6" t="n">
        <v>92</v>
      </c>
      <c r="M6" t="n">
        <v>72</v>
      </c>
      <c r="N6" t="n">
        <v>60</v>
      </c>
      <c r="O6" t="n">
        <v>69</v>
      </c>
      <c r="P6" t="n">
        <v>83</v>
      </c>
      <c r="Q6" t="n">
        <v>88</v>
      </c>
      <c r="R6" t="n">
        <v>58</v>
      </c>
      <c r="S6" t="n">
        <v>61</v>
      </c>
      <c r="T6" t="n">
        <v>84</v>
      </c>
      <c r="U6" t="n">
        <v>99</v>
      </c>
      <c r="V6" t="n">
        <v>99</v>
      </c>
      <c r="W6" t="n">
        <v>63</v>
      </c>
      <c r="X6" t="n">
        <v>96</v>
      </c>
      <c r="Y6" t="n">
        <v>98</v>
      </c>
      <c r="Z6" t="n">
        <v>53</v>
      </c>
      <c r="AA6" t="n">
        <v>87</v>
      </c>
      <c r="AB6" t="n">
        <v>89</v>
      </c>
      <c r="AC6" t="n">
        <v>72</v>
      </c>
      <c r="AD6" t="n">
        <v>75</v>
      </c>
      <c r="AE6" t="n">
        <v>9064</v>
      </c>
      <c r="AF6" t="n">
        <v>2003954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Franklin Lenard</t>
        </is>
      </c>
      <c r="B7" t="inlineStr">
        <is>
          <t>Champion</t>
        </is>
      </c>
      <c r="C7" t="inlineStr">
        <is>
          <t>PF</t>
        </is>
      </c>
      <c r="D7" t="inlineStr">
        <is>
          <t>N/A</t>
        </is>
      </c>
      <c r="E7" t="n">
        <v>55</v>
      </c>
      <c r="F7" t="n">
        <v>2002</v>
      </c>
      <c r="G7" t="n">
        <v>7</v>
      </c>
      <c r="H7" t="n">
        <v>4</v>
      </c>
      <c r="J7" t="n">
        <v>2.01</v>
      </c>
      <c r="K7" t="n">
        <v>106</v>
      </c>
      <c r="L7" t="n">
        <v>95</v>
      </c>
      <c r="M7" t="n">
        <v>77</v>
      </c>
      <c r="N7" t="n">
        <v>80</v>
      </c>
      <c r="O7" t="n">
        <v>60</v>
      </c>
      <c r="P7" t="n">
        <v>92</v>
      </c>
      <c r="Q7" t="n">
        <v>81</v>
      </c>
      <c r="R7" t="n">
        <v>67</v>
      </c>
      <c r="S7" t="n">
        <v>71</v>
      </c>
      <c r="T7" t="n">
        <v>83</v>
      </c>
      <c r="U7" t="n">
        <v>87</v>
      </c>
      <c r="V7" t="n">
        <v>78</v>
      </c>
      <c r="W7" t="n">
        <v>68</v>
      </c>
      <c r="X7" t="n">
        <v>86</v>
      </c>
      <c r="Y7" t="n">
        <v>70</v>
      </c>
      <c r="Z7" t="n">
        <v>67</v>
      </c>
      <c r="AA7" t="n">
        <v>85</v>
      </c>
      <c r="AB7" t="n">
        <v>85</v>
      </c>
      <c r="AC7" t="n">
        <v>74</v>
      </c>
      <c r="AD7" t="n">
        <v>75</v>
      </c>
      <c r="AE7" t="n">
        <v>9188</v>
      </c>
      <c r="AF7" t="n">
        <v>2005080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Oskar</t>
        </is>
      </c>
      <c r="B8" t="inlineStr">
        <is>
          <t>Humpert</t>
        </is>
      </c>
      <c r="C8" t="inlineStr">
        <is>
          <t>SF</t>
        </is>
      </c>
      <c r="D8" t="inlineStr">
        <is>
          <t>N/A</t>
        </is>
      </c>
      <c r="E8" t="n">
        <v>22</v>
      </c>
      <c r="F8" t="n">
        <v>2005</v>
      </c>
      <c r="G8" t="n">
        <v>6</v>
      </c>
      <c r="H8" t="n">
        <v>3</v>
      </c>
      <c r="J8" t="n">
        <v>2.02</v>
      </c>
      <c r="K8" t="n">
        <v>98</v>
      </c>
      <c r="L8" t="n">
        <v>84</v>
      </c>
      <c r="M8" t="n">
        <v>81</v>
      </c>
      <c r="N8" t="n">
        <v>74</v>
      </c>
      <c r="O8" t="n">
        <v>60</v>
      </c>
      <c r="P8" t="n">
        <v>88</v>
      </c>
      <c r="Q8" t="n">
        <v>77</v>
      </c>
      <c r="R8" t="n">
        <v>76</v>
      </c>
      <c r="S8" t="n">
        <v>70</v>
      </c>
      <c r="T8" t="n">
        <v>64</v>
      </c>
      <c r="U8" t="n">
        <v>75</v>
      </c>
      <c r="V8" t="n">
        <v>68</v>
      </c>
      <c r="W8" t="n">
        <v>75</v>
      </c>
      <c r="X8" t="n">
        <v>73</v>
      </c>
      <c r="Y8" t="n">
        <v>70</v>
      </c>
      <c r="Z8" t="n">
        <v>85</v>
      </c>
      <c r="AA8" t="n">
        <v>84</v>
      </c>
      <c r="AB8" t="n">
        <v>83</v>
      </c>
      <c r="AC8" t="n">
        <v>73</v>
      </c>
      <c r="AD8" t="n">
        <v>73</v>
      </c>
      <c r="AE8" t="n">
        <v>9088</v>
      </c>
      <c r="AF8" t="n">
        <v>2004146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Lorenz</t>
        </is>
      </c>
      <c r="B9" t="inlineStr">
        <is>
          <t>Brenneke</t>
        </is>
      </c>
      <c r="C9" t="inlineStr">
        <is>
          <t>C</t>
        </is>
      </c>
      <c r="D9" t="inlineStr">
        <is>
          <t>N/A</t>
        </is>
      </c>
      <c r="E9" t="n">
        <v>19</v>
      </c>
      <c r="F9" t="n">
        <v>2000</v>
      </c>
      <c r="G9" t="n">
        <v>1</v>
      </c>
      <c r="H9" t="n">
        <v>2</v>
      </c>
      <c r="J9" t="n">
        <v>2.04</v>
      </c>
      <c r="K9" t="n">
        <v>86</v>
      </c>
      <c r="L9" t="n">
        <v>97</v>
      </c>
      <c r="M9" t="n">
        <v>70</v>
      </c>
      <c r="N9" t="n">
        <v>60</v>
      </c>
      <c r="O9" t="n">
        <v>60</v>
      </c>
      <c r="P9" t="n">
        <v>88</v>
      </c>
      <c r="Q9" t="n">
        <v>85</v>
      </c>
      <c r="R9" t="n">
        <v>58</v>
      </c>
      <c r="S9" t="n">
        <v>61</v>
      </c>
      <c r="T9" t="n">
        <v>85</v>
      </c>
      <c r="U9" t="n">
        <v>87</v>
      </c>
      <c r="V9" t="n">
        <v>87</v>
      </c>
      <c r="W9" t="n">
        <v>63</v>
      </c>
      <c r="X9" t="n">
        <v>94</v>
      </c>
      <c r="Y9" t="n">
        <v>69</v>
      </c>
      <c r="Z9" t="n">
        <v>60</v>
      </c>
      <c r="AA9" t="n">
        <v>87</v>
      </c>
      <c r="AB9" t="n">
        <v>92</v>
      </c>
      <c r="AC9" t="n">
        <v>71</v>
      </c>
      <c r="AD9" t="n">
        <v>74</v>
      </c>
      <c r="AE9" t="n">
        <v>9050</v>
      </c>
      <c r="AF9" t="n">
        <v>2003787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Erol</t>
        </is>
      </c>
      <c r="B10" t="inlineStr">
        <is>
          <t>Ersek</t>
        </is>
      </c>
      <c r="C10" t="inlineStr">
        <is>
          <t>SG</t>
        </is>
      </c>
      <c r="D10" t="inlineStr">
        <is>
          <t>N/A</t>
        </is>
      </c>
      <c r="E10" t="n">
        <v>11</v>
      </c>
      <c r="F10" t="n">
        <v>1999</v>
      </c>
      <c r="G10" t="n">
        <v>4</v>
      </c>
      <c r="H10" t="n">
        <v>20</v>
      </c>
      <c r="J10" t="n">
        <v>1.93</v>
      </c>
      <c r="K10" t="n">
        <v>88</v>
      </c>
      <c r="L10" t="n">
        <v>79</v>
      </c>
      <c r="M10" t="n">
        <v>82</v>
      </c>
      <c r="N10" t="n">
        <v>91</v>
      </c>
      <c r="O10" t="n">
        <v>89</v>
      </c>
      <c r="P10" t="n">
        <v>83</v>
      </c>
      <c r="Q10" t="n">
        <v>67</v>
      </c>
      <c r="R10" t="n">
        <v>87</v>
      </c>
      <c r="S10" t="n">
        <v>75</v>
      </c>
      <c r="T10" t="n">
        <v>59</v>
      </c>
      <c r="U10" t="n">
        <v>62</v>
      </c>
      <c r="V10" t="n">
        <v>62</v>
      </c>
      <c r="W10" t="n">
        <v>79</v>
      </c>
      <c r="X10" t="n">
        <v>57</v>
      </c>
      <c r="Y10" t="n">
        <v>62</v>
      </c>
      <c r="Z10" t="n">
        <v>87</v>
      </c>
      <c r="AA10" t="n">
        <v>84</v>
      </c>
      <c r="AB10" t="n">
        <v>78</v>
      </c>
      <c r="AC10" t="n">
        <v>76</v>
      </c>
      <c r="AD10" t="n">
        <v>78</v>
      </c>
      <c r="AE10" t="n">
        <v>9002</v>
      </c>
      <c r="AF10" t="n">
        <v>1000853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Cantia Jevon</t>
        </is>
      </c>
      <c r="B11" t="inlineStr">
        <is>
          <t>Rahming</t>
        </is>
      </c>
      <c r="C11" t="inlineStr">
        <is>
          <t>PF</t>
        </is>
      </c>
      <c r="D11" t="inlineStr">
        <is>
          <t>N/A</t>
        </is>
      </c>
      <c r="E11" t="n">
        <v>21</v>
      </c>
      <c r="F11" t="n">
        <v>2001</v>
      </c>
      <c r="G11" t="n">
        <v>11</v>
      </c>
      <c r="H11" t="n">
        <v>21</v>
      </c>
      <c r="J11" t="n">
        <v>1.96</v>
      </c>
      <c r="K11" t="n">
        <v>98</v>
      </c>
      <c r="L11" t="n">
        <v>82</v>
      </c>
      <c r="M11" t="n">
        <v>74</v>
      </c>
      <c r="N11" t="n">
        <v>77</v>
      </c>
      <c r="O11" t="n">
        <v>60</v>
      </c>
      <c r="P11" t="n">
        <v>79</v>
      </c>
      <c r="Q11" t="n">
        <v>79</v>
      </c>
      <c r="R11" t="n">
        <v>67</v>
      </c>
      <c r="S11" t="n">
        <v>67</v>
      </c>
      <c r="T11" t="n">
        <v>78</v>
      </c>
      <c r="U11" t="n">
        <v>83</v>
      </c>
      <c r="V11" t="n">
        <v>77</v>
      </c>
      <c r="W11" t="n">
        <v>67</v>
      </c>
      <c r="X11" t="n">
        <v>88</v>
      </c>
      <c r="Y11" t="n">
        <v>88</v>
      </c>
      <c r="Z11" t="n">
        <v>71</v>
      </c>
      <c r="AA11" t="n">
        <v>84</v>
      </c>
      <c r="AB11" t="n">
        <v>87</v>
      </c>
      <c r="AC11" t="n">
        <v>74</v>
      </c>
      <c r="AD11" t="n">
        <v>74</v>
      </c>
      <c r="AE11" t="n">
        <v>9051</v>
      </c>
      <c r="AF11" t="n">
        <v>2003788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Paul</t>
        </is>
      </c>
      <c r="B12" t="inlineStr">
        <is>
          <t>Zipser</t>
        </is>
      </c>
      <c r="C12" t="inlineStr">
        <is>
          <t>PF</t>
        </is>
      </c>
      <c r="D12" t="inlineStr">
        <is>
          <t>N/A</t>
        </is>
      </c>
      <c r="E12" t="n">
        <v>9</v>
      </c>
      <c r="F12" t="n">
        <v>1994</v>
      </c>
      <c r="G12" t="n">
        <v>2</v>
      </c>
      <c r="H12" t="n">
        <v>18</v>
      </c>
      <c r="J12" t="n">
        <v>2.03</v>
      </c>
      <c r="K12" t="n">
        <v>94</v>
      </c>
      <c r="L12" t="n">
        <v>81</v>
      </c>
      <c r="M12" t="n">
        <v>73</v>
      </c>
      <c r="N12" t="n">
        <v>76</v>
      </c>
      <c r="O12" t="n">
        <v>69</v>
      </c>
      <c r="P12" t="n">
        <v>78</v>
      </c>
      <c r="Q12" t="n">
        <v>78</v>
      </c>
      <c r="R12" t="n">
        <v>64</v>
      </c>
      <c r="S12" t="n">
        <v>68</v>
      </c>
      <c r="T12" t="n">
        <v>77</v>
      </c>
      <c r="U12" t="n">
        <v>80</v>
      </c>
      <c r="V12" t="n">
        <v>76</v>
      </c>
      <c r="W12" t="n">
        <v>66</v>
      </c>
      <c r="X12" t="n">
        <v>84</v>
      </c>
      <c r="Y12" t="n">
        <v>82</v>
      </c>
      <c r="Z12" t="n">
        <v>65</v>
      </c>
      <c r="AA12" t="n">
        <v>80</v>
      </c>
      <c r="AB12" t="n">
        <v>83</v>
      </c>
      <c r="AC12" t="n">
        <v>74</v>
      </c>
      <c r="AD12" t="n">
        <v>78</v>
      </c>
      <c r="AE12" t="n">
        <v>9000</v>
      </c>
      <c r="AF12" t="n">
        <v>56380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Niklas</t>
        </is>
      </c>
      <c r="B13" t="inlineStr">
        <is>
          <t>Würzner</t>
        </is>
      </c>
      <c r="C13" t="inlineStr">
        <is>
          <t>SF</t>
        </is>
      </c>
      <c r="D13" t="inlineStr">
        <is>
          <t>N/A</t>
        </is>
      </c>
      <c r="E13" t="n">
        <v>2</v>
      </c>
      <c r="F13" t="n">
        <v>1994</v>
      </c>
      <c r="G13" t="n">
        <v>2</v>
      </c>
      <c r="H13" t="n">
        <v>2</v>
      </c>
      <c r="J13" t="n">
        <v>1.96</v>
      </c>
      <c r="K13" t="n">
        <v>85</v>
      </c>
      <c r="L13" t="n">
        <v>77</v>
      </c>
      <c r="M13" t="n">
        <v>77</v>
      </c>
      <c r="N13" t="n">
        <v>70</v>
      </c>
      <c r="O13" t="n">
        <v>82</v>
      </c>
      <c r="P13" t="n">
        <v>81</v>
      </c>
      <c r="Q13" t="n">
        <v>71</v>
      </c>
      <c r="R13" t="n">
        <v>74</v>
      </c>
      <c r="S13" t="n">
        <v>70</v>
      </c>
      <c r="T13" t="n">
        <v>59</v>
      </c>
      <c r="U13" t="n">
        <v>69</v>
      </c>
      <c r="V13" t="n">
        <v>64</v>
      </c>
      <c r="W13" t="n">
        <v>71</v>
      </c>
      <c r="X13" t="n">
        <v>66</v>
      </c>
      <c r="Y13" t="n">
        <v>66</v>
      </c>
      <c r="Z13" t="n">
        <v>76</v>
      </c>
      <c r="AA13" t="n">
        <v>77</v>
      </c>
      <c r="AB13" t="n">
        <v>76</v>
      </c>
      <c r="AC13" t="n">
        <v>76</v>
      </c>
      <c r="AD13" t="n">
        <v>80</v>
      </c>
      <c r="AE13" t="n">
        <v>9001</v>
      </c>
      <c r="AF13" t="n">
        <v>56479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  <row r="14">
      <c r="A14" t="inlineStr">
        <is>
          <t>Felix</t>
        </is>
      </c>
      <c r="B14" t="inlineStr">
        <is>
          <t>Diez</t>
        </is>
      </c>
      <c r="C14" t="inlineStr">
        <is>
          <t>PF</t>
        </is>
      </c>
      <c r="D14" t="inlineStr">
        <is>
          <t>N/A</t>
        </is>
      </c>
      <c r="E14" t="n">
        <v>12</v>
      </c>
      <c r="F14" t="n">
        <v>2006</v>
      </c>
      <c r="G14" t="n">
        <v>2</v>
      </c>
      <c r="H14" t="n">
        <v>18</v>
      </c>
      <c r="J14" t="n">
        <v>2.06</v>
      </c>
      <c r="K14" t="n">
        <v>101</v>
      </c>
      <c r="L14" t="n">
        <v>79</v>
      </c>
      <c r="M14" t="n">
        <v>71</v>
      </c>
      <c r="N14" t="n">
        <v>67</v>
      </c>
      <c r="O14" t="n">
        <v>69</v>
      </c>
      <c r="P14" t="n">
        <v>76</v>
      </c>
      <c r="Q14" t="n">
        <v>78</v>
      </c>
      <c r="R14" t="n">
        <v>62</v>
      </c>
      <c r="S14" t="n">
        <v>62</v>
      </c>
      <c r="T14" t="n">
        <v>75</v>
      </c>
      <c r="U14" t="n">
        <v>82</v>
      </c>
      <c r="V14" t="n">
        <v>77</v>
      </c>
      <c r="W14" t="n">
        <v>64</v>
      </c>
      <c r="X14" t="n">
        <v>85</v>
      </c>
      <c r="Y14" t="n">
        <v>83</v>
      </c>
      <c r="Z14" t="n">
        <v>70</v>
      </c>
      <c r="AA14" t="n">
        <v>81</v>
      </c>
      <c r="AB14" t="n">
        <v>84</v>
      </c>
      <c r="AC14" t="n">
        <v>65</v>
      </c>
      <c r="AD14" t="n">
        <v>65</v>
      </c>
      <c r="AE14" t="n">
        <v>9133</v>
      </c>
      <c r="AF14" t="n">
        <v>2004391</v>
      </c>
      <c r="AG14">
        <f>IF(ISNA(MATCH($C14,'_Overall_Model'!$A$2:$A$6,0)),"",ROUND(SUMPRODUCT(L14:AD14,INDEX('_Overall_Model'!$B$2:$T$6,MATCH($C14,'_Overall_Model'!$A$2:$A$6,0),0))+INDEX('_Overall_Model'!$U$2:$U$6,MATCH($C14,'_Overall_Model'!$A$2:$A$6,0))+INDEX('_Overall_Model'!$V$2:$V$6,MATCH($C14,'_Overall_Model'!$A$2:$A$6,0))*IF(Q14&gt;=75,99,IF(Q14&gt;=60,50,0))+INDEX('_Overall_Model'!$W$2:$W$6,MATCH($C14,'_Overall_Model'!$A$2:$A$6,0))*J14+INDEX('_Overall_Model'!$X$2:$X$6,MATCH($C14,'_Overall_Model'!$A$2:$A$6,0))*K14,0))</f>
        <v/>
      </c>
    </row>
    <row r="15">
      <c r="A15" t="inlineStr">
        <is>
          <t>Dominic</t>
        </is>
      </c>
      <c r="B15" t="inlineStr">
        <is>
          <t>Vengert</t>
        </is>
      </c>
      <c r="C15" t="inlineStr">
        <is>
          <t>SG</t>
        </is>
      </c>
      <c r="D15" t="inlineStr">
        <is>
          <t>N/A</t>
        </is>
      </c>
      <c r="E15" t="n">
        <v>8</v>
      </c>
      <c r="F15" t="n">
        <v>2006</v>
      </c>
      <c r="G15" t="n">
        <v>4</v>
      </c>
      <c r="H15" t="n">
        <v>28</v>
      </c>
      <c r="J15" t="n">
        <v>1.99</v>
      </c>
      <c r="K15" t="n">
        <v>86</v>
      </c>
      <c r="L15" t="n">
        <v>73</v>
      </c>
      <c r="M15" t="n">
        <v>76</v>
      </c>
      <c r="N15" t="n">
        <v>78</v>
      </c>
      <c r="O15" t="n">
        <v>78</v>
      </c>
      <c r="P15" t="n">
        <v>77</v>
      </c>
      <c r="Q15" t="n">
        <v>63</v>
      </c>
      <c r="R15" t="n">
        <v>77</v>
      </c>
      <c r="S15" t="n">
        <v>66</v>
      </c>
      <c r="T15" t="n">
        <v>53</v>
      </c>
      <c r="U15" t="n">
        <v>56</v>
      </c>
      <c r="V15" t="n">
        <v>56</v>
      </c>
      <c r="W15" t="n">
        <v>73</v>
      </c>
      <c r="X15" t="n">
        <v>51</v>
      </c>
      <c r="Y15" t="n">
        <v>56</v>
      </c>
      <c r="Z15" t="n">
        <v>85</v>
      </c>
      <c r="AA15" t="n">
        <v>78</v>
      </c>
      <c r="AB15" t="n">
        <v>72</v>
      </c>
      <c r="AC15" t="n">
        <v>66</v>
      </c>
      <c r="AD15" t="n">
        <v>66</v>
      </c>
      <c r="AE15" t="n">
        <v>9072</v>
      </c>
      <c r="AF15" t="n">
        <v>2004007</v>
      </c>
      <c r="AG15">
        <f>IF(ISNA(MATCH($C15,'_Overall_Model'!$A$2:$A$6,0)),"",ROUND(SUMPRODUCT(L15:AD15,INDEX('_Overall_Model'!$B$2:$T$6,MATCH($C15,'_Overall_Model'!$A$2:$A$6,0),0))+INDEX('_Overall_Model'!$U$2:$U$6,MATCH($C15,'_Overall_Model'!$A$2:$A$6,0))+INDEX('_Overall_Model'!$V$2:$V$6,MATCH($C15,'_Overall_Model'!$A$2:$A$6,0))*IF(Q15&gt;=75,99,IF(Q15&gt;=60,50,0))+INDEX('_Overall_Model'!$W$2:$W$6,MATCH($C15,'_Overall_Model'!$A$2:$A$6,0))*J15+INDEX('_Overall_Model'!$X$2:$X$6,MATCH($C15,'_Overall_Model'!$A$2:$A$6,0))*K15,0))</f>
        <v/>
      </c>
    </row>
    <row r="16">
      <c r="A16" t="inlineStr">
        <is>
          <t>Julius</t>
        </is>
      </c>
      <c r="B16" t="inlineStr">
        <is>
          <t>Hoffmann</t>
        </is>
      </c>
      <c r="C16" t="inlineStr">
        <is>
          <t>SG</t>
        </is>
      </c>
      <c r="D16" t="inlineStr">
        <is>
          <t>N/A</t>
        </is>
      </c>
      <c r="E16" t="n">
        <v>10</v>
      </c>
      <c r="F16" t="n">
        <v>2005</v>
      </c>
      <c r="G16" t="n">
        <v>2</v>
      </c>
      <c r="H16" t="n">
        <v>15</v>
      </c>
      <c r="J16" t="n">
        <v>1.96</v>
      </c>
      <c r="K16" t="n">
        <v>86</v>
      </c>
      <c r="L16" t="n">
        <v>72</v>
      </c>
      <c r="M16" t="n">
        <v>75</v>
      </c>
      <c r="N16" t="n">
        <v>77</v>
      </c>
      <c r="O16" t="n">
        <v>77</v>
      </c>
      <c r="P16" t="n">
        <v>76</v>
      </c>
      <c r="Q16" t="n">
        <v>62</v>
      </c>
      <c r="R16" t="n">
        <v>76</v>
      </c>
      <c r="S16" t="n">
        <v>65</v>
      </c>
      <c r="T16" t="n">
        <v>52</v>
      </c>
      <c r="U16" t="n">
        <v>55</v>
      </c>
      <c r="V16" t="n">
        <v>55</v>
      </c>
      <c r="W16" t="n">
        <v>72</v>
      </c>
      <c r="X16" t="n">
        <v>50</v>
      </c>
      <c r="Y16" t="n">
        <v>55</v>
      </c>
      <c r="Z16" t="n">
        <v>84</v>
      </c>
      <c r="AA16" t="n">
        <v>77</v>
      </c>
      <c r="AB16" t="n">
        <v>71</v>
      </c>
      <c r="AC16" t="n">
        <v>65</v>
      </c>
      <c r="AD16" t="n">
        <v>65</v>
      </c>
      <c r="AE16" t="n">
        <v>9132</v>
      </c>
      <c r="AF16" t="n">
        <v>2004390</v>
      </c>
      <c r="AG16">
        <f>IF(ISNA(MATCH($C16,'_Overall_Model'!$A$2:$A$6,0)),"",ROUND(SUMPRODUCT(L16:AD16,INDEX('_Overall_Model'!$B$2:$T$6,MATCH($C16,'_Overall_Model'!$A$2:$A$6,0),0))+INDEX('_Overall_Model'!$U$2:$U$6,MATCH($C16,'_Overall_Model'!$A$2:$A$6,0))+INDEX('_Overall_Model'!$V$2:$V$6,MATCH($C16,'_Overall_Model'!$A$2:$A$6,0))*IF(Q16&gt;=75,99,IF(Q16&gt;=60,50,0))+INDEX('_Overall_Model'!$W$2:$W$6,MATCH($C16,'_Overall_Model'!$A$2:$A$6,0))*J16+INDEX('_Overall_Model'!$X$2:$X$6,MATCH($C16,'_Overall_Model'!$A$2:$A$6,0))*K16,0)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6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Nate</t>
        </is>
      </c>
      <c r="B2" t="inlineStr">
        <is>
          <t>Heise</t>
        </is>
      </c>
      <c r="C2" t="inlineStr">
        <is>
          <t>SG</t>
        </is>
      </c>
      <c r="D2" t="inlineStr">
        <is>
          <t>N/A</t>
        </is>
      </c>
      <c r="E2" t="n">
        <v>33</v>
      </c>
      <c r="F2" t="n">
        <v>2002</v>
      </c>
      <c r="G2" t="n">
        <v>4</v>
      </c>
      <c r="H2" t="n">
        <v>11</v>
      </c>
      <c r="J2" t="n">
        <v>1.96</v>
      </c>
      <c r="K2" t="n">
        <v>96</v>
      </c>
      <c r="L2" t="n">
        <v>90</v>
      </c>
      <c r="M2" t="n">
        <v>90</v>
      </c>
      <c r="N2" t="n">
        <v>99</v>
      </c>
      <c r="O2" t="n">
        <v>60</v>
      </c>
      <c r="P2" t="n">
        <v>94</v>
      </c>
      <c r="Q2" t="n">
        <v>73</v>
      </c>
      <c r="R2" t="n">
        <v>93</v>
      </c>
      <c r="S2" t="n">
        <v>82</v>
      </c>
      <c r="T2" t="n">
        <v>67</v>
      </c>
      <c r="U2" t="n">
        <v>68</v>
      </c>
      <c r="V2" t="n">
        <v>66</v>
      </c>
      <c r="W2" t="n">
        <v>86</v>
      </c>
      <c r="X2" t="n">
        <v>61</v>
      </c>
      <c r="Y2" t="n">
        <v>71</v>
      </c>
      <c r="Z2" t="n">
        <v>91</v>
      </c>
      <c r="AA2" t="n">
        <v>88</v>
      </c>
      <c r="AB2" t="n">
        <v>82</v>
      </c>
      <c r="AC2" t="n">
        <v>83</v>
      </c>
      <c r="AD2" t="n">
        <v>85</v>
      </c>
      <c r="AE2" t="n">
        <v>9086</v>
      </c>
      <c r="AF2" t="n">
        <v>2004101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Xavier</t>
        </is>
      </c>
      <c r="B3" t="inlineStr">
        <is>
          <t>Bell</t>
        </is>
      </c>
      <c r="C3" t="inlineStr">
        <is>
          <t>PG</t>
        </is>
      </c>
      <c r="D3" t="inlineStr">
        <is>
          <t>N/A</t>
        </is>
      </c>
      <c r="E3" t="n">
        <v>4</v>
      </c>
      <c r="F3" t="n">
        <v>2002</v>
      </c>
      <c r="G3" t="n">
        <v>4</v>
      </c>
      <c r="H3" t="n">
        <v>4</v>
      </c>
      <c r="J3" t="n">
        <v>1.9</v>
      </c>
      <c r="K3" t="n">
        <v>84</v>
      </c>
      <c r="L3" t="n">
        <v>81</v>
      </c>
      <c r="M3" t="n">
        <v>86</v>
      </c>
      <c r="N3" t="n">
        <v>93</v>
      </c>
      <c r="O3" t="n">
        <v>69</v>
      </c>
      <c r="P3" t="n">
        <v>92</v>
      </c>
      <c r="Q3" t="n">
        <v>65</v>
      </c>
      <c r="R3" t="n">
        <v>93</v>
      </c>
      <c r="S3" t="n">
        <v>91</v>
      </c>
      <c r="T3" t="n">
        <v>60</v>
      </c>
      <c r="U3" t="n">
        <v>55</v>
      </c>
      <c r="V3" t="n">
        <v>55</v>
      </c>
      <c r="W3" t="n">
        <v>91</v>
      </c>
      <c r="X3" t="n">
        <v>59</v>
      </c>
      <c r="Y3" t="n">
        <v>59</v>
      </c>
      <c r="Z3" t="n">
        <v>95</v>
      </c>
      <c r="AA3" t="n">
        <v>86</v>
      </c>
      <c r="AB3" t="n">
        <v>81</v>
      </c>
      <c r="AC3" t="n">
        <v>78</v>
      </c>
      <c r="AD3" t="n">
        <v>79</v>
      </c>
      <c r="AE3" t="n">
        <v>9138</v>
      </c>
      <c r="AF3" t="n">
        <v>2004435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Jenö</t>
        </is>
      </c>
      <c r="B4" t="inlineStr">
        <is>
          <t>Pildner</t>
        </is>
      </c>
      <c r="C4" t="inlineStr">
        <is>
          <t>SF</t>
        </is>
      </c>
      <c r="D4" t="inlineStr">
        <is>
          <t>N/A</t>
        </is>
      </c>
      <c r="E4" t="n">
        <v>37</v>
      </c>
      <c r="F4" t="n">
        <v>2006</v>
      </c>
      <c r="G4" t="n">
        <v>2</v>
      </c>
      <c r="H4" t="n">
        <v>10</v>
      </c>
      <c r="J4" t="n">
        <v>1.98</v>
      </c>
      <c r="K4" t="n">
        <v>94</v>
      </c>
      <c r="L4" t="n">
        <v>81</v>
      </c>
      <c r="M4" t="n">
        <v>81</v>
      </c>
      <c r="N4" t="n">
        <v>67</v>
      </c>
      <c r="O4" t="n">
        <v>86</v>
      </c>
      <c r="P4" t="n">
        <v>85</v>
      </c>
      <c r="Q4" t="n">
        <v>77</v>
      </c>
      <c r="R4" t="n">
        <v>77</v>
      </c>
      <c r="S4" t="n">
        <v>70</v>
      </c>
      <c r="T4" t="n">
        <v>63</v>
      </c>
      <c r="U4" t="n">
        <v>73</v>
      </c>
      <c r="V4" t="n">
        <v>68</v>
      </c>
      <c r="W4" t="n">
        <v>78</v>
      </c>
      <c r="X4" t="n">
        <v>70</v>
      </c>
      <c r="Y4" t="n">
        <v>69</v>
      </c>
      <c r="Z4" t="n">
        <v>87</v>
      </c>
      <c r="AA4" t="n">
        <v>84</v>
      </c>
      <c r="AB4" t="n">
        <v>80</v>
      </c>
      <c r="AC4" t="n">
        <v>75</v>
      </c>
      <c r="AD4" t="n">
        <v>72</v>
      </c>
      <c r="AE4" t="n">
        <v>9068</v>
      </c>
      <c r="AF4" t="n">
        <v>2003982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Ty</t>
        </is>
      </c>
      <c r="B5" t="inlineStr">
        <is>
          <t>Allred</t>
        </is>
      </c>
      <c r="C5" t="inlineStr">
        <is>
          <t>PF</t>
        </is>
      </c>
      <c r="D5" t="inlineStr">
        <is>
          <t>N/A</t>
        </is>
      </c>
      <c r="E5" t="n">
        <v>10</v>
      </c>
      <c r="F5" t="n">
        <v>2002</v>
      </c>
      <c r="G5" t="n">
        <v>7</v>
      </c>
      <c r="H5" t="n">
        <v>5</v>
      </c>
      <c r="J5" t="n">
        <v>2.06</v>
      </c>
      <c r="K5" t="n">
        <v>98</v>
      </c>
      <c r="L5" t="n">
        <v>83</v>
      </c>
      <c r="M5" t="n">
        <v>75</v>
      </c>
      <c r="N5" t="n">
        <v>60</v>
      </c>
      <c r="O5" t="n">
        <v>69</v>
      </c>
      <c r="P5" t="n">
        <v>80</v>
      </c>
      <c r="Q5" t="n">
        <v>80</v>
      </c>
      <c r="R5" t="n">
        <v>66</v>
      </c>
      <c r="S5" t="n">
        <v>68</v>
      </c>
      <c r="T5" t="n">
        <v>79</v>
      </c>
      <c r="U5" t="n">
        <v>86</v>
      </c>
      <c r="V5" t="n">
        <v>81</v>
      </c>
      <c r="W5" t="n">
        <v>68</v>
      </c>
      <c r="X5" t="n">
        <v>86</v>
      </c>
      <c r="Y5" t="n">
        <v>73</v>
      </c>
      <c r="Z5" t="n">
        <v>70</v>
      </c>
      <c r="AA5" t="n">
        <v>85</v>
      </c>
      <c r="AB5" t="n">
        <v>85</v>
      </c>
      <c r="AC5" t="n">
        <v>74</v>
      </c>
      <c r="AD5" t="n">
        <v>75</v>
      </c>
      <c r="AE5" t="n">
        <v>9083</v>
      </c>
      <c r="AF5" t="n">
        <v>2004046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Tim</t>
        </is>
      </c>
      <c r="B6" t="inlineStr">
        <is>
          <t>Köpple</t>
        </is>
      </c>
      <c r="C6" t="inlineStr">
        <is>
          <t>PG</t>
        </is>
      </c>
      <c r="D6" t="inlineStr">
        <is>
          <t>N/A</t>
        </is>
      </c>
      <c r="E6" t="n">
        <v>5</v>
      </c>
      <c r="F6" t="n">
        <v>2000</v>
      </c>
      <c r="G6" t="n">
        <v>9</v>
      </c>
      <c r="H6" t="n">
        <v>3</v>
      </c>
      <c r="J6" t="n">
        <v>1.82</v>
      </c>
      <c r="K6" t="n">
        <v>84</v>
      </c>
      <c r="L6" t="n">
        <v>78</v>
      </c>
      <c r="M6" t="n">
        <v>83</v>
      </c>
      <c r="N6" t="n">
        <v>85</v>
      </c>
      <c r="O6" t="n">
        <v>93</v>
      </c>
      <c r="P6" t="n">
        <v>90</v>
      </c>
      <c r="Q6" t="n">
        <v>62</v>
      </c>
      <c r="R6" t="n">
        <v>95</v>
      </c>
      <c r="S6" t="n">
        <v>90</v>
      </c>
      <c r="T6" t="n">
        <v>58</v>
      </c>
      <c r="U6" t="n">
        <v>52</v>
      </c>
      <c r="V6" t="n">
        <v>52</v>
      </c>
      <c r="W6" t="n">
        <v>94</v>
      </c>
      <c r="X6" t="n">
        <v>58</v>
      </c>
      <c r="Y6" t="n">
        <v>58</v>
      </c>
      <c r="Z6" t="n">
        <v>96</v>
      </c>
      <c r="AA6" t="n">
        <v>85</v>
      </c>
      <c r="AB6" t="n">
        <v>80</v>
      </c>
      <c r="AC6" t="n">
        <v>77</v>
      </c>
      <c r="AD6" t="n">
        <v>79</v>
      </c>
      <c r="AE6" t="n">
        <v>5008</v>
      </c>
      <c r="AF6" t="n">
        <v>5469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Tom</t>
        </is>
      </c>
      <c r="B7" t="inlineStr">
        <is>
          <t>Stoiber</t>
        </is>
      </c>
      <c r="C7" t="inlineStr">
        <is>
          <t>PF</t>
        </is>
      </c>
      <c r="D7" t="inlineStr">
        <is>
          <t>N/A</t>
        </is>
      </c>
      <c r="E7" t="n">
        <v>28</v>
      </c>
      <c r="F7" t="n">
        <v>2006</v>
      </c>
      <c r="G7" t="n">
        <v>3</v>
      </c>
      <c r="H7" t="n">
        <v>28</v>
      </c>
      <c r="J7" t="n">
        <v>2</v>
      </c>
      <c r="K7" t="n">
        <v>93</v>
      </c>
      <c r="L7" t="n">
        <v>82</v>
      </c>
      <c r="M7" t="n">
        <v>74</v>
      </c>
      <c r="N7" t="n">
        <v>70</v>
      </c>
      <c r="O7" t="n">
        <v>69</v>
      </c>
      <c r="P7" t="n">
        <v>79</v>
      </c>
      <c r="Q7" t="n">
        <v>81</v>
      </c>
      <c r="R7" t="n">
        <v>65</v>
      </c>
      <c r="S7" t="n">
        <v>65</v>
      </c>
      <c r="T7" t="n">
        <v>78</v>
      </c>
      <c r="U7" t="n">
        <v>81</v>
      </c>
      <c r="V7" t="n">
        <v>77</v>
      </c>
      <c r="W7" t="n">
        <v>67</v>
      </c>
      <c r="X7" t="n">
        <v>85</v>
      </c>
      <c r="Y7" t="n">
        <v>69</v>
      </c>
      <c r="Z7" t="n">
        <v>73</v>
      </c>
      <c r="AA7" t="n">
        <v>84</v>
      </c>
      <c r="AB7" t="n">
        <v>84</v>
      </c>
      <c r="AC7" t="n">
        <v>69</v>
      </c>
      <c r="AD7" t="n">
        <v>68</v>
      </c>
      <c r="AE7" t="n">
        <v>5049</v>
      </c>
      <c r="AF7" t="n">
        <v>58183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Jarne</t>
        </is>
      </c>
      <c r="B8" t="inlineStr">
        <is>
          <t>Jürgens</t>
        </is>
      </c>
      <c r="C8" t="inlineStr">
        <is>
          <t>C</t>
        </is>
      </c>
      <c r="D8" t="inlineStr">
        <is>
          <t>N/A</t>
        </is>
      </c>
      <c r="E8" t="n">
        <v>21</v>
      </c>
      <c r="F8" t="n">
        <v>2005</v>
      </c>
      <c r="G8" t="n">
        <v>4</v>
      </c>
      <c r="H8" t="n">
        <v>18</v>
      </c>
      <c r="J8" t="n">
        <v>2.08</v>
      </c>
      <c r="K8" t="n">
        <v>100</v>
      </c>
      <c r="L8" t="n">
        <v>85</v>
      </c>
      <c r="M8" t="n">
        <v>68</v>
      </c>
      <c r="N8" t="n">
        <v>56</v>
      </c>
      <c r="O8" t="n">
        <v>60</v>
      </c>
      <c r="P8" t="n">
        <v>76</v>
      </c>
      <c r="Q8" t="n">
        <v>85</v>
      </c>
      <c r="R8" t="n">
        <v>56</v>
      </c>
      <c r="S8" t="n">
        <v>57</v>
      </c>
      <c r="T8" t="n">
        <v>80</v>
      </c>
      <c r="U8" t="n">
        <v>89</v>
      </c>
      <c r="V8" t="n">
        <v>88</v>
      </c>
      <c r="W8" t="n">
        <v>61</v>
      </c>
      <c r="X8" t="n">
        <v>89</v>
      </c>
      <c r="Y8" t="n">
        <v>73</v>
      </c>
      <c r="Z8" t="n">
        <v>62</v>
      </c>
      <c r="AA8" t="n">
        <v>85</v>
      </c>
      <c r="AB8" t="n">
        <v>87</v>
      </c>
      <c r="AC8" t="n">
        <v>65</v>
      </c>
      <c r="AD8" t="n">
        <v>66</v>
      </c>
      <c r="AE8" t="n">
        <v>9067</v>
      </c>
      <c r="AF8" t="n">
        <v>2003981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Lars</t>
        </is>
      </c>
      <c r="B9" t="inlineStr">
        <is>
          <t>Lagerpusch</t>
        </is>
      </c>
      <c r="C9" t="inlineStr">
        <is>
          <t>C</t>
        </is>
      </c>
      <c r="D9" t="inlineStr">
        <is>
          <t>N/A</t>
        </is>
      </c>
      <c r="E9" t="n">
        <v>44</v>
      </c>
      <c r="F9" t="n">
        <v>1998</v>
      </c>
      <c r="G9" t="n">
        <v>3</v>
      </c>
      <c r="H9" t="n">
        <v>28</v>
      </c>
      <c r="J9" t="n">
        <v>2.07</v>
      </c>
      <c r="K9" t="n">
        <v>105</v>
      </c>
      <c r="L9" t="n">
        <v>91</v>
      </c>
      <c r="M9" t="n">
        <v>68</v>
      </c>
      <c r="N9" t="n">
        <v>56</v>
      </c>
      <c r="O9" t="n">
        <v>69</v>
      </c>
      <c r="P9" t="n">
        <v>82</v>
      </c>
      <c r="Q9" t="n">
        <v>83</v>
      </c>
      <c r="R9" t="n">
        <v>56</v>
      </c>
      <c r="S9" t="n">
        <v>59</v>
      </c>
      <c r="T9" t="n">
        <v>82</v>
      </c>
      <c r="U9" t="n">
        <v>92</v>
      </c>
      <c r="V9" t="n">
        <v>88</v>
      </c>
      <c r="W9" t="n">
        <v>61</v>
      </c>
      <c r="X9" t="n">
        <v>89</v>
      </c>
      <c r="Y9" t="n">
        <v>73</v>
      </c>
      <c r="Z9" t="n">
        <v>55</v>
      </c>
      <c r="AA9" t="n">
        <v>85</v>
      </c>
      <c r="AB9" t="n">
        <v>87</v>
      </c>
      <c r="AC9" t="n">
        <v>69</v>
      </c>
      <c r="AD9" t="n">
        <v>72</v>
      </c>
      <c r="AE9" t="n">
        <v>5577</v>
      </c>
      <c r="AF9" t="n">
        <v>2002186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Christian</t>
        </is>
      </c>
      <c r="B10" t="inlineStr">
        <is>
          <t>Feneberg</t>
        </is>
      </c>
      <c r="C10" t="inlineStr">
        <is>
          <t>SG</t>
        </is>
      </c>
      <c r="D10" t="inlineStr">
        <is>
          <t>N/A</t>
        </is>
      </c>
      <c r="E10" t="n">
        <v>7</v>
      </c>
      <c r="F10" t="n">
        <v>2002</v>
      </c>
      <c r="G10" t="n">
        <v>4</v>
      </c>
      <c r="H10" t="n">
        <v>22</v>
      </c>
      <c r="J10" t="n">
        <v>1.9</v>
      </c>
      <c r="K10" t="n">
        <v>90</v>
      </c>
      <c r="L10" t="n">
        <v>78</v>
      </c>
      <c r="M10" t="n">
        <v>81</v>
      </c>
      <c r="N10" t="n">
        <v>67</v>
      </c>
      <c r="O10" t="n">
        <v>69</v>
      </c>
      <c r="P10" t="n">
        <v>85</v>
      </c>
      <c r="Q10" t="n">
        <v>64</v>
      </c>
      <c r="R10" t="n">
        <v>88</v>
      </c>
      <c r="S10" t="n">
        <v>74</v>
      </c>
      <c r="T10" t="n">
        <v>58</v>
      </c>
      <c r="U10" t="n">
        <v>57</v>
      </c>
      <c r="V10" t="n">
        <v>57</v>
      </c>
      <c r="W10" t="n">
        <v>78</v>
      </c>
      <c r="X10" t="n">
        <v>56</v>
      </c>
      <c r="Y10" t="n">
        <v>61</v>
      </c>
      <c r="Z10" t="n">
        <v>88</v>
      </c>
      <c r="AA10" t="n">
        <v>83</v>
      </c>
      <c r="AB10" t="n">
        <v>77</v>
      </c>
      <c r="AC10" t="n">
        <v>75</v>
      </c>
      <c r="AD10" t="n">
        <v>77</v>
      </c>
      <c r="AE10" t="n">
        <v>5002</v>
      </c>
      <c r="AF10" t="n">
        <v>5034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Dominick</t>
        </is>
      </c>
      <c r="B11" t="inlineStr">
        <is>
          <t>von Waaden</t>
        </is>
      </c>
      <c r="C11" t="inlineStr">
        <is>
          <t>SG</t>
        </is>
      </c>
      <c r="D11" t="inlineStr">
        <is>
          <t>N/A</t>
        </is>
      </c>
      <c r="E11" t="n">
        <v>9</v>
      </c>
      <c r="F11" t="n">
        <v>1999</v>
      </c>
      <c r="G11" t="n">
        <v>9</v>
      </c>
      <c r="H11" t="n">
        <v>8</v>
      </c>
      <c r="J11" t="n">
        <v>1.95</v>
      </c>
      <c r="K11" t="n">
        <v>90</v>
      </c>
      <c r="L11" t="n">
        <v>78</v>
      </c>
      <c r="M11" t="n">
        <v>81</v>
      </c>
      <c r="N11" t="n">
        <v>90</v>
      </c>
      <c r="O11" t="n">
        <v>69</v>
      </c>
      <c r="P11" t="n">
        <v>82</v>
      </c>
      <c r="Q11" t="n">
        <v>66</v>
      </c>
      <c r="R11" t="n">
        <v>86</v>
      </c>
      <c r="S11" t="n">
        <v>74</v>
      </c>
      <c r="T11" t="n">
        <v>58</v>
      </c>
      <c r="U11" t="n">
        <v>61</v>
      </c>
      <c r="V11" t="n">
        <v>61</v>
      </c>
      <c r="W11" t="n">
        <v>78</v>
      </c>
      <c r="X11" t="n">
        <v>56</v>
      </c>
      <c r="Y11" t="n">
        <v>61</v>
      </c>
      <c r="Z11" t="n">
        <v>86</v>
      </c>
      <c r="AA11" t="n">
        <v>83</v>
      </c>
      <c r="AB11" t="n">
        <v>77</v>
      </c>
      <c r="AC11" t="n">
        <v>75</v>
      </c>
      <c r="AD11" t="n">
        <v>77</v>
      </c>
      <c r="AE11" t="n">
        <v>9160</v>
      </c>
      <c r="AF11" t="n">
        <v>2004606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Drew</t>
        </is>
      </c>
      <c r="B12" t="inlineStr">
        <is>
          <t>Stover</t>
        </is>
      </c>
      <c r="C12" t="inlineStr">
        <is>
          <t>C</t>
        </is>
      </c>
      <c r="D12" t="inlineStr">
        <is>
          <t>N/A</t>
        </is>
      </c>
      <c r="E12" t="n">
        <v>42</v>
      </c>
      <c r="F12" t="n">
        <v>2003</v>
      </c>
      <c r="G12" t="n">
        <v>2</v>
      </c>
      <c r="H12" t="n">
        <v>27</v>
      </c>
      <c r="J12" t="n">
        <v>2.03</v>
      </c>
      <c r="K12" t="n">
        <v>111</v>
      </c>
      <c r="L12" t="n">
        <v>83</v>
      </c>
      <c r="M12" t="n">
        <v>66</v>
      </c>
      <c r="N12" t="n">
        <v>54</v>
      </c>
      <c r="O12" t="n">
        <v>66</v>
      </c>
      <c r="P12" t="n">
        <v>74</v>
      </c>
      <c r="Q12" t="n">
        <v>81</v>
      </c>
      <c r="R12" t="n">
        <v>52</v>
      </c>
      <c r="S12" t="n">
        <v>57</v>
      </c>
      <c r="T12" t="n">
        <v>78</v>
      </c>
      <c r="U12" t="n">
        <v>88</v>
      </c>
      <c r="V12" t="n">
        <v>83</v>
      </c>
      <c r="W12" t="n">
        <v>59</v>
      </c>
      <c r="X12" t="n">
        <v>84</v>
      </c>
      <c r="Y12" t="n">
        <v>84</v>
      </c>
      <c r="Z12" t="n">
        <v>53</v>
      </c>
      <c r="AA12" t="n">
        <v>83</v>
      </c>
      <c r="AB12" t="n">
        <v>82</v>
      </c>
      <c r="AC12" t="n">
        <v>66</v>
      </c>
      <c r="AD12" t="n">
        <v>68</v>
      </c>
      <c r="AE12" t="n">
        <v>9181</v>
      </c>
      <c r="AF12" t="n">
        <v>2004965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Daniel</t>
        </is>
      </c>
      <c r="B13" t="inlineStr">
        <is>
          <t>Helterhoff</t>
        </is>
      </c>
      <c r="C13" t="inlineStr">
        <is>
          <t>C</t>
        </is>
      </c>
      <c r="D13" t="inlineStr">
        <is>
          <t>N/A</t>
        </is>
      </c>
      <c r="E13" t="n">
        <v>13</v>
      </c>
      <c r="F13" t="n">
        <v>2003</v>
      </c>
      <c r="G13" t="n">
        <v>2</v>
      </c>
      <c r="H13" t="n">
        <v>14</v>
      </c>
      <c r="J13" t="n">
        <v>2.08</v>
      </c>
      <c r="K13" t="n">
        <v>110</v>
      </c>
      <c r="L13" t="n">
        <v>83</v>
      </c>
      <c r="M13" t="n">
        <v>66</v>
      </c>
      <c r="N13" t="n">
        <v>60</v>
      </c>
      <c r="O13" t="n">
        <v>68</v>
      </c>
      <c r="P13" t="n">
        <v>74</v>
      </c>
      <c r="Q13" t="n">
        <v>81</v>
      </c>
      <c r="R13" t="n">
        <v>54</v>
      </c>
      <c r="S13" t="n">
        <v>57</v>
      </c>
      <c r="T13" t="n">
        <v>78</v>
      </c>
      <c r="U13" t="n">
        <v>90</v>
      </c>
      <c r="V13" t="n">
        <v>86</v>
      </c>
      <c r="W13" t="n">
        <v>59</v>
      </c>
      <c r="X13" t="n">
        <v>87</v>
      </c>
      <c r="Y13" t="n">
        <v>87</v>
      </c>
      <c r="Z13" t="n">
        <v>53</v>
      </c>
      <c r="AA13" t="n">
        <v>83</v>
      </c>
      <c r="AB13" t="n">
        <v>85</v>
      </c>
      <c r="AC13" t="n">
        <v>66</v>
      </c>
      <c r="AD13" t="n">
        <v>70</v>
      </c>
      <c r="AE13" t="n">
        <v>9069</v>
      </c>
      <c r="AF13" t="n">
        <v>2003983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  <row r="14">
      <c r="A14" t="inlineStr">
        <is>
          <t>Lars</t>
        </is>
      </c>
      <c r="B14" t="inlineStr">
        <is>
          <t>Lenke</t>
        </is>
      </c>
      <c r="C14" t="inlineStr">
        <is>
          <t>SF</t>
        </is>
      </c>
      <c r="D14" t="inlineStr">
        <is>
          <t>N/A</t>
        </is>
      </c>
      <c r="E14" t="n">
        <v>11</v>
      </c>
      <c r="F14" t="n">
        <v>2008</v>
      </c>
      <c r="G14" t="n">
        <v>5</v>
      </c>
      <c r="H14" t="n">
        <v>8</v>
      </c>
      <c r="J14" t="n">
        <v>1.99</v>
      </c>
      <c r="K14" t="n">
        <v>87</v>
      </c>
      <c r="L14" t="n">
        <v>77</v>
      </c>
      <c r="M14" t="n">
        <v>77</v>
      </c>
      <c r="N14" t="n">
        <v>70</v>
      </c>
      <c r="O14" t="n">
        <v>60</v>
      </c>
      <c r="P14" t="n">
        <v>81</v>
      </c>
      <c r="Q14" t="n">
        <v>73</v>
      </c>
      <c r="R14" t="n">
        <v>74</v>
      </c>
      <c r="S14" t="n">
        <v>66</v>
      </c>
      <c r="T14" t="n">
        <v>59</v>
      </c>
      <c r="U14" t="n">
        <v>69</v>
      </c>
      <c r="V14" t="n">
        <v>64</v>
      </c>
      <c r="W14" t="n">
        <v>71</v>
      </c>
      <c r="X14" t="n">
        <v>66</v>
      </c>
      <c r="Y14" t="n">
        <v>66</v>
      </c>
      <c r="Z14" t="n">
        <v>83</v>
      </c>
      <c r="AA14" t="n">
        <v>80</v>
      </c>
      <c r="AB14" t="n">
        <v>76</v>
      </c>
      <c r="AC14" t="n">
        <v>69</v>
      </c>
      <c r="AD14" t="n">
        <v>69</v>
      </c>
      <c r="AE14" t="n">
        <v>5114</v>
      </c>
      <c r="AF14" t="n">
        <v>2001468</v>
      </c>
      <c r="AG14">
        <f>IF(ISNA(MATCH($C14,'_Overall_Model'!$A$2:$A$6,0)),"",ROUND(SUMPRODUCT(L14:AD14,INDEX('_Overall_Model'!$B$2:$T$6,MATCH($C14,'_Overall_Model'!$A$2:$A$6,0),0))+INDEX('_Overall_Model'!$U$2:$U$6,MATCH($C14,'_Overall_Model'!$A$2:$A$6,0))+INDEX('_Overall_Model'!$V$2:$V$6,MATCH($C14,'_Overall_Model'!$A$2:$A$6,0))*IF(Q14&gt;=75,99,IF(Q14&gt;=60,50,0))+INDEX('_Overall_Model'!$W$2:$W$6,MATCH($C14,'_Overall_Model'!$A$2:$A$6,0))*J14+INDEX('_Overall_Model'!$X$2:$X$6,MATCH($C14,'_Overall_Model'!$A$2:$A$6,0))*K14,0))</f>
        <v/>
      </c>
    </row>
    <row r="15">
      <c r="A15" t="inlineStr">
        <is>
          <t>Nic</t>
        </is>
      </c>
      <c r="B15" t="inlineStr">
        <is>
          <t>Welp</t>
        </is>
      </c>
      <c r="C15" t="inlineStr">
        <is>
          <t>C</t>
        </is>
      </c>
      <c r="D15" t="inlineStr">
        <is>
          <t>N/A</t>
        </is>
      </c>
      <c r="E15" t="n">
        <v>20</v>
      </c>
      <c r="F15" t="n">
        <v>2002</v>
      </c>
      <c r="G15" t="n">
        <v>3</v>
      </c>
      <c r="H15" t="n">
        <v>20</v>
      </c>
      <c r="J15" t="n">
        <v>2.04</v>
      </c>
      <c r="K15" t="n">
        <v>102</v>
      </c>
      <c r="L15" t="n">
        <v>88</v>
      </c>
      <c r="M15" t="n">
        <v>65</v>
      </c>
      <c r="N15" t="n">
        <v>60</v>
      </c>
      <c r="O15" t="n">
        <v>60</v>
      </c>
      <c r="P15" t="n">
        <v>79</v>
      </c>
      <c r="Q15" t="n">
        <v>80</v>
      </c>
      <c r="R15" t="n">
        <v>53</v>
      </c>
      <c r="S15" t="n">
        <v>56</v>
      </c>
      <c r="T15" t="n">
        <v>79</v>
      </c>
      <c r="U15" t="n">
        <v>84</v>
      </c>
      <c r="V15" t="n">
        <v>82</v>
      </c>
      <c r="W15" t="n">
        <v>58</v>
      </c>
      <c r="X15" t="n">
        <v>86</v>
      </c>
      <c r="Y15" t="n">
        <v>83</v>
      </c>
      <c r="Z15" t="n">
        <v>55</v>
      </c>
      <c r="AA15" t="n">
        <v>82</v>
      </c>
      <c r="AB15" t="n">
        <v>84</v>
      </c>
      <c r="AC15" t="n">
        <v>65</v>
      </c>
      <c r="AD15" t="n">
        <v>69</v>
      </c>
      <c r="AE15" t="n">
        <v>9084</v>
      </c>
      <c r="AF15" t="n">
        <v>2004048</v>
      </c>
      <c r="AG15">
        <f>IF(ISNA(MATCH($C15,'_Overall_Model'!$A$2:$A$6,0)),"",ROUND(SUMPRODUCT(L15:AD15,INDEX('_Overall_Model'!$B$2:$T$6,MATCH($C15,'_Overall_Model'!$A$2:$A$6,0),0))+INDEX('_Overall_Model'!$U$2:$U$6,MATCH($C15,'_Overall_Model'!$A$2:$A$6,0))+INDEX('_Overall_Model'!$V$2:$V$6,MATCH($C15,'_Overall_Model'!$A$2:$A$6,0))*IF(Q15&gt;=75,99,IF(Q15&gt;=60,50,0))+INDEX('_Overall_Model'!$W$2:$W$6,MATCH($C15,'_Overall_Model'!$A$2:$A$6,0))*J15+INDEX('_Overall_Model'!$X$2:$X$6,MATCH($C15,'_Overall_Model'!$A$2:$A$6,0))*K15,0))</f>
        <v/>
      </c>
    </row>
    <row r="16">
      <c r="A16" t="inlineStr">
        <is>
          <t>Joscha</t>
        </is>
      </c>
      <c r="B16" t="inlineStr">
        <is>
          <t>Eckert</t>
        </is>
      </c>
      <c r="C16" t="inlineStr">
        <is>
          <t>PG</t>
        </is>
      </c>
      <c r="D16" t="inlineStr">
        <is>
          <t>N/A</t>
        </is>
      </c>
      <c r="E16" t="n">
        <v>4</v>
      </c>
      <c r="F16" t="n">
        <v>2005</v>
      </c>
      <c r="G16" t="n">
        <v>7</v>
      </c>
      <c r="H16" t="n">
        <v>10</v>
      </c>
      <c r="J16" t="n">
        <v>1.86</v>
      </c>
      <c r="K16" t="n">
        <v>84</v>
      </c>
      <c r="L16" t="n">
        <v>72</v>
      </c>
      <c r="M16" t="n">
        <v>77</v>
      </c>
      <c r="N16" t="n">
        <v>67</v>
      </c>
      <c r="O16" t="n">
        <v>69</v>
      </c>
      <c r="P16" t="n">
        <v>83</v>
      </c>
      <c r="Q16" t="n">
        <v>59</v>
      </c>
      <c r="R16" t="n">
        <v>88</v>
      </c>
      <c r="S16" t="n">
        <v>82</v>
      </c>
      <c r="T16" t="n">
        <v>52</v>
      </c>
      <c r="U16" t="n">
        <v>50</v>
      </c>
      <c r="V16" t="n">
        <v>50</v>
      </c>
      <c r="W16" t="n">
        <v>84</v>
      </c>
      <c r="X16" t="n">
        <v>52</v>
      </c>
      <c r="Y16" t="n">
        <v>52</v>
      </c>
      <c r="Z16" t="n">
        <v>92</v>
      </c>
      <c r="AA16" t="n">
        <v>79</v>
      </c>
      <c r="AB16" t="n">
        <v>74</v>
      </c>
      <c r="AC16" t="n">
        <v>67</v>
      </c>
      <c r="AD16" t="n">
        <v>67</v>
      </c>
      <c r="AE16" t="n">
        <v>5051</v>
      </c>
      <c r="AF16" t="n">
        <v>2000034</v>
      </c>
      <c r="AG16">
        <f>IF(ISNA(MATCH($C16,'_Overall_Model'!$A$2:$A$6,0)),"",ROUND(SUMPRODUCT(L16:AD16,INDEX('_Overall_Model'!$B$2:$T$6,MATCH($C16,'_Overall_Model'!$A$2:$A$6,0),0))+INDEX('_Overall_Model'!$U$2:$U$6,MATCH($C16,'_Overall_Model'!$A$2:$A$6,0))+INDEX('_Overall_Model'!$V$2:$V$6,MATCH($C16,'_Overall_Model'!$A$2:$A$6,0))*IF(Q16&gt;=75,99,IF(Q16&gt;=60,50,0))+INDEX('_Overall_Model'!$W$2:$W$6,MATCH($C16,'_Overall_Model'!$A$2:$A$6,0))*J16+INDEX('_Overall_Model'!$X$2:$X$6,MATCH($C16,'_Overall_Model'!$A$2:$A$6,0))*K16,0)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G16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Lucas</t>
        </is>
      </c>
      <c r="B2" t="inlineStr">
        <is>
          <t>Fischer</t>
        </is>
      </c>
      <c r="C2" t="inlineStr">
        <is>
          <t>SG</t>
        </is>
      </c>
      <c r="D2" t="inlineStr">
        <is>
          <t>N/A</t>
        </is>
      </c>
      <c r="E2" t="n">
        <v>43</v>
      </c>
      <c r="F2" t="n">
        <v>2004</v>
      </c>
      <c r="G2" t="n">
        <v>8</v>
      </c>
      <c r="H2" t="n">
        <v>1</v>
      </c>
      <c r="J2" t="n">
        <v>1.94</v>
      </c>
      <c r="K2" t="n">
        <v>91</v>
      </c>
      <c r="L2" t="n">
        <v>90</v>
      </c>
      <c r="M2" t="n">
        <v>90</v>
      </c>
      <c r="N2" t="n">
        <v>99</v>
      </c>
      <c r="O2" t="n">
        <v>60</v>
      </c>
      <c r="P2" t="n">
        <v>94</v>
      </c>
      <c r="Q2" t="n">
        <v>73</v>
      </c>
      <c r="R2" t="n">
        <v>87</v>
      </c>
      <c r="S2" t="n">
        <v>78</v>
      </c>
      <c r="T2" t="n">
        <v>67</v>
      </c>
      <c r="U2" t="n">
        <v>66</v>
      </c>
      <c r="V2" t="n">
        <v>66</v>
      </c>
      <c r="W2" t="n">
        <v>90</v>
      </c>
      <c r="X2" t="n">
        <v>61</v>
      </c>
      <c r="Y2" t="n">
        <v>68</v>
      </c>
      <c r="Z2" t="n">
        <v>91</v>
      </c>
      <c r="AA2" t="n">
        <v>88</v>
      </c>
      <c r="AB2" t="n">
        <v>82</v>
      </c>
      <c r="AC2" t="n">
        <v>83</v>
      </c>
      <c r="AD2" t="n">
        <v>85</v>
      </c>
      <c r="AE2" t="n">
        <v>9156</v>
      </c>
      <c r="AF2" t="n">
        <v>2004602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Meissa</t>
        </is>
      </c>
      <c r="B3" t="inlineStr">
        <is>
          <t>Faye</t>
        </is>
      </c>
      <c r="C3" t="inlineStr">
        <is>
          <t>SG</t>
        </is>
      </c>
      <c r="D3" t="inlineStr">
        <is>
          <t>N/A</t>
        </is>
      </c>
      <c r="E3" t="n">
        <v>11</v>
      </c>
      <c r="F3" t="n">
        <v>2007</v>
      </c>
      <c r="G3" t="n">
        <v>12</v>
      </c>
      <c r="H3" t="n">
        <v>29</v>
      </c>
      <c r="J3" t="n">
        <v>2</v>
      </c>
      <c r="K3" t="n">
        <v>91</v>
      </c>
      <c r="L3" t="n">
        <v>86</v>
      </c>
      <c r="M3" t="n">
        <v>89</v>
      </c>
      <c r="N3" t="n">
        <v>67</v>
      </c>
      <c r="O3" t="n">
        <v>69</v>
      </c>
      <c r="P3" t="n">
        <v>90</v>
      </c>
      <c r="Q3" t="n">
        <v>74</v>
      </c>
      <c r="R3" t="n">
        <v>84</v>
      </c>
      <c r="S3" t="n">
        <v>75</v>
      </c>
      <c r="T3" t="n">
        <v>65</v>
      </c>
      <c r="U3" t="n">
        <v>65</v>
      </c>
      <c r="V3" t="n">
        <v>65</v>
      </c>
      <c r="W3" t="n">
        <v>85</v>
      </c>
      <c r="X3" t="n">
        <v>60</v>
      </c>
      <c r="Y3" t="n">
        <v>67</v>
      </c>
      <c r="Z3" t="n">
        <v>92</v>
      </c>
      <c r="AA3" t="n">
        <v>87</v>
      </c>
      <c r="AB3" t="n">
        <v>81</v>
      </c>
      <c r="AC3" t="n">
        <v>77</v>
      </c>
      <c r="AD3" t="n">
        <v>78</v>
      </c>
      <c r="AE3" t="n">
        <v>9032</v>
      </c>
      <c r="AF3" t="n">
        <v>2001951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Juom Maker</t>
        </is>
      </c>
      <c r="B4" t="inlineStr">
        <is>
          <t>Bol Meen</t>
        </is>
      </c>
      <c r="C4" t="inlineStr">
        <is>
          <t>C</t>
        </is>
      </c>
      <c r="D4" t="inlineStr">
        <is>
          <t>N/A</t>
        </is>
      </c>
      <c r="E4" t="n">
        <v>58</v>
      </c>
      <c r="F4" t="n">
        <v>2008</v>
      </c>
      <c r="G4" t="n">
        <v>11</v>
      </c>
      <c r="H4" t="n">
        <v>8</v>
      </c>
      <c r="J4" t="n">
        <v>2.11</v>
      </c>
      <c r="K4" t="n">
        <v>91</v>
      </c>
      <c r="L4" t="n">
        <v>89</v>
      </c>
      <c r="M4" t="n">
        <v>72</v>
      </c>
      <c r="N4" t="n">
        <v>80</v>
      </c>
      <c r="O4" t="n">
        <v>60</v>
      </c>
      <c r="P4" t="n">
        <v>80</v>
      </c>
      <c r="Q4" t="n">
        <v>91</v>
      </c>
      <c r="R4" t="n">
        <v>60</v>
      </c>
      <c r="S4" t="n">
        <v>61</v>
      </c>
      <c r="T4" t="n">
        <v>84</v>
      </c>
      <c r="U4" t="n">
        <v>93</v>
      </c>
      <c r="V4" t="n">
        <v>94</v>
      </c>
      <c r="W4" t="n">
        <v>65</v>
      </c>
      <c r="X4" t="n">
        <v>98</v>
      </c>
      <c r="Y4" t="n">
        <v>75</v>
      </c>
      <c r="Z4" t="n">
        <v>62</v>
      </c>
      <c r="AA4" t="n">
        <v>89</v>
      </c>
      <c r="AB4" t="n">
        <v>91</v>
      </c>
      <c r="AC4" t="n">
        <v>69</v>
      </c>
      <c r="AD4" t="n">
        <v>70</v>
      </c>
      <c r="AE4" t="n">
        <v>9194</v>
      </c>
      <c r="AF4" t="n">
        <v>2005115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Teo</t>
        </is>
      </c>
      <c r="B5" t="inlineStr">
        <is>
          <t>Milicic</t>
        </is>
      </c>
      <c r="C5" t="inlineStr">
        <is>
          <t>PG</t>
        </is>
      </c>
      <c r="D5" t="inlineStr">
        <is>
          <t>N/A</t>
        </is>
      </c>
      <c r="E5" t="n">
        <v>4</v>
      </c>
      <c r="F5" t="n">
        <v>2008</v>
      </c>
      <c r="G5" t="n">
        <v>5</v>
      </c>
      <c r="H5" t="n">
        <v>23</v>
      </c>
      <c r="J5" t="n">
        <v>1.92</v>
      </c>
      <c r="K5" t="n">
        <v>81</v>
      </c>
      <c r="L5" t="n">
        <v>81</v>
      </c>
      <c r="M5" t="n">
        <v>86</v>
      </c>
      <c r="N5" t="n">
        <v>60</v>
      </c>
      <c r="O5" t="n">
        <v>69</v>
      </c>
      <c r="P5" t="n">
        <v>92</v>
      </c>
      <c r="Q5" t="n">
        <v>67</v>
      </c>
      <c r="R5" t="n">
        <v>95</v>
      </c>
      <c r="S5" t="n">
        <v>92</v>
      </c>
      <c r="T5" t="n">
        <v>60</v>
      </c>
      <c r="U5" t="n">
        <v>55</v>
      </c>
      <c r="V5" t="n">
        <v>55</v>
      </c>
      <c r="W5" t="n">
        <v>94</v>
      </c>
      <c r="X5" t="n">
        <v>59</v>
      </c>
      <c r="Y5" t="n">
        <v>61</v>
      </c>
      <c r="Z5" t="n">
        <v>99</v>
      </c>
      <c r="AA5" t="n">
        <v>86</v>
      </c>
      <c r="AB5" t="n">
        <v>81</v>
      </c>
      <c r="AC5" t="n">
        <v>76</v>
      </c>
      <c r="AD5" t="n">
        <v>73</v>
      </c>
      <c r="AE5" t="n">
        <v>9021</v>
      </c>
      <c r="AF5" t="n">
        <v>2001363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Lenny</t>
        </is>
      </c>
      <c r="B6" t="inlineStr">
        <is>
          <t>Liedtke</t>
        </is>
      </c>
      <c r="C6" t="inlineStr">
        <is>
          <t>PF</t>
        </is>
      </c>
      <c r="D6" t="inlineStr">
        <is>
          <t>N/A</t>
        </is>
      </c>
      <c r="E6" t="n">
        <v>55</v>
      </c>
      <c r="F6" t="n">
        <v>2004</v>
      </c>
      <c r="G6" t="n">
        <v>2</v>
      </c>
      <c r="H6" t="n">
        <v>8</v>
      </c>
      <c r="J6" t="n">
        <v>2</v>
      </c>
      <c r="K6" t="n">
        <v>99</v>
      </c>
      <c r="L6" t="n">
        <v>84</v>
      </c>
      <c r="M6" t="n">
        <v>76</v>
      </c>
      <c r="N6" t="n">
        <v>79</v>
      </c>
      <c r="O6" t="n">
        <v>69</v>
      </c>
      <c r="P6" t="n">
        <v>81</v>
      </c>
      <c r="Q6" t="n">
        <v>81</v>
      </c>
      <c r="R6" t="n">
        <v>67</v>
      </c>
      <c r="S6" t="n">
        <v>69</v>
      </c>
      <c r="T6" t="n">
        <v>80</v>
      </c>
      <c r="U6" t="n">
        <v>85</v>
      </c>
      <c r="V6" t="n">
        <v>79</v>
      </c>
      <c r="W6" t="n">
        <v>69</v>
      </c>
      <c r="X6" t="n">
        <v>90</v>
      </c>
      <c r="Y6" t="n">
        <v>69</v>
      </c>
      <c r="Z6" t="n">
        <v>71</v>
      </c>
      <c r="AA6" t="n">
        <v>86</v>
      </c>
      <c r="AB6" t="n">
        <v>89</v>
      </c>
      <c r="AC6" t="n">
        <v>75</v>
      </c>
      <c r="AD6" t="n">
        <v>76</v>
      </c>
      <c r="AE6" t="n">
        <v>9015</v>
      </c>
      <c r="AF6" t="n">
        <v>1400026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CJ</t>
        </is>
      </c>
      <c r="B7" t="inlineStr">
        <is>
          <t>Anthony Jr</t>
        </is>
      </c>
      <c r="C7" t="inlineStr">
        <is>
          <t>PG</t>
        </is>
      </c>
      <c r="D7" t="inlineStr">
        <is>
          <t>N/A</t>
        </is>
      </c>
      <c r="E7" t="n">
        <v>25</v>
      </c>
      <c r="F7" t="n">
        <v>2002</v>
      </c>
      <c r="G7" t="n">
        <v>2</v>
      </c>
      <c r="H7" t="n">
        <v>17</v>
      </c>
      <c r="J7" t="n">
        <v>1.86</v>
      </c>
      <c r="K7" t="n">
        <v>90</v>
      </c>
      <c r="L7" t="n">
        <v>83</v>
      </c>
      <c r="M7" t="n">
        <v>88</v>
      </c>
      <c r="N7" t="n">
        <v>95</v>
      </c>
      <c r="O7" t="n">
        <v>60</v>
      </c>
      <c r="P7" t="n">
        <v>94</v>
      </c>
      <c r="Q7" t="n">
        <v>66</v>
      </c>
      <c r="R7" t="n">
        <v>94</v>
      </c>
      <c r="S7" t="n">
        <v>91</v>
      </c>
      <c r="T7" t="n">
        <v>62</v>
      </c>
      <c r="U7" t="n">
        <v>55</v>
      </c>
      <c r="V7" t="n">
        <v>55</v>
      </c>
      <c r="W7" t="n">
        <v>99</v>
      </c>
      <c r="X7" t="n">
        <v>59</v>
      </c>
      <c r="Y7" t="n">
        <v>59</v>
      </c>
      <c r="Z7" t="n">
        <v>93</v>
      </c>
      <c r="AA7" t="n">
        <v>86</v>
      </c>
      <c r="AB7" t="n">
        <v>81</v>
      </c>
      <c r="AC7" t="n">
        <v>82</v>
      </c>
      <c r="AD7" t="n">
        <v>82</v>
      </c>
      <c r="AE7" t="n">
        <v>9154</v>
      </c>
      <c r="AF7" t="n">
        <v>2004513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Namori</t>
        </is>
      </c>
      <c r="B8" t="inlineStr">
        <is>
          <t>Omog</t>
        </is>
      </c>
      <c r="C8" t="inlineStr">
        <is>
          <t>PG</t>
        </is>
      </c>
      <c r="D8" t="inlineStr">
        <is>
          <t>N/A</t>
        </is>
      </c>
      <c r="E8" t="n">
        <v>1</v>
      </c>
      <c r="F8" t="n">
        <v>2006</v>
      </c>
      <c r="G8" t="n">
        <v>7</v>
      </c>
      <c r="H8" t="n">
        <v>23</v>
      </c>
      <c r="J8" t="n">
        <v>1.9</v>
      </c>
      <c r="K8" t="n">
        <v>82</v>
      </c>
      <c r="L8" t="n">
        <v>77</v>
      </c>
      <c r="M8" t="n">
        <v>82</v>
      </c>
      <c r="N8" t="n">
        <v>67</v>
      </c>
      <c r="O8" t="n">
        <v>60</v>
      </c>
      <c r="P8" t="n">
        <v>88</v>
      </c>
      <c r="Q8" t="n">
        <v>64</v>
      </c>
      <c r="R8" t="n">
        <v>93</v>
      </c>
      <c r="S8" t="n">
        <v>87</v>
      </c>
      <c r="T8" t="n">
        <v>57</v>
      </c>
      <c r="U8" t="n">
        <v>53</v>
      </c>
      <c r="V8" t="n">
        <v>53</v>
      </c>
      <c r="W8" t="n">
        <v>89</v>
      </c>
      <c r="X8" t="n">
        <v>57</v>
      </c>
      <c r="Y8" t="n">
        <v>57</v>
      </c>
      <c r="Z8" t="n">
        <v>97</v>
      </c>
      <c r="AA8" t="n">
        <v>84</v>
      </c>
      <c r="AB8" t="n">
        <v>79</v>
      </c>
      <c r="AC8" t="n">
        <v>72</v>
      </c>
      <c r="AD8" t="n">
        <v>72</v>
      </c>
      <c r="AE8" t="n">
        <v>9029</v>
      </c>
      <c r="AF8" t="n">
        <v>2001946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Zoran</t>
        </is>
      </c>
      <c r="B9" t="inlineStr">
        <is>
          <t>Milicic</t>
        </is>
      </c>
      <c r="C9" t="inlineStr">
        <is>
          <t>SG</t>
        </is>
      </c>
      <c r="D9" t="inlineStr">
        <is>
          <t>N/A</t>
        </is>
      </c>
      <c r="E9" t="n">
        <v>44</v>
      </c>
      <c r="F9" t="n">
        <v>2006</v>
      </c>
      <c r="G9" t="n">
        <v>11</v>
      </c>
      <c r="H9" t="n">
        <v>22</v>
      </c>
      <c r="J9" t="n">
        <v>1.94</v>
      </c>
      <c r="K9" t="n">
        <v>84</v>
      </c>
      <c r="L9" t="n">
        <v>78</v>
      </c>
      <c r="M9" t="n">
        <v>81</v>
      </c>
      <c r="N9" t="n">
        <v>60</v>
      </c>
      <c r="O9" t="n">
        <v>60</v>
      </c>
      <c r="P9" t="n">
        <v>82</v>
      </c>
      <c r="Q9" t="n">
        <v>68</v>
      </c>
      <c r="R9" t="n">
        <v>82</v>
      </c>
      <c r="S9" t="n">
        <v>71</v>
      </c>
      <c r="T9" t="n">
        <v>58</v>
      </c>
      <c r="U9" t="n">
        <v>61</v>
      </c>
      <c r="V9" t="n">
        <v>61</v>
      </c>
      <c r="W9" t="n">
        <v>78</v>
      </c>
      <c r="X9" t="n">
        <v>56</v>
      </c>
      <c r="Y9" t="n">
        <v>61</v>
      </c>
      <c r="Z9" t="n">
        <v>92</v>
      </c>
      <c r="AA9" t="n">
        <v>83</v>
      </c>
      <c r="AB9" t="n">
        <v>77</v>
      </c>
      <c r="AC9" t="n">
        <v>71</v>
      </c>
      <c r="AD9" t="n">
        <v>71</v>
      </c>
      <c r="AE9" t="n">
        <v>9020</v>
      </c>
      <c r="AF9" t="n">
        <v>2001259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Nil</t>
        </is>
      </c>
      <c r="B10" t="inlineStr">
        <is>
          <t>Failenschmid Clavera</t>
        </is>
      </c>
      <c r="C10" t="inlineStr">
        <is>
          <t>SF</t>
        </is>
      </c>
      <c r="D10" t="inlineStr">
        <is>
          <t>N/A</t>
        </is>
      </c>
      <c r="E10" t="n">
        <v>15</v>
      </c>
      <c r="F10" t="n">
        <v>2005</v>
      </c>
      <c r="G10" t="n">
        <v>10</v>
      </c>
      <c r="H10" t="n">
        <v>25</v>
      </c>
      <c r="J10" t="n">
        <v>2.05</v>
      </c>
      <c r="K10" t="n">
        <v>88</v>
      </c>
      <c r="L10" t="n">
        <v>78</v>
      </c>
      <c r="M10" t="n">
        <v>78</v>
      </c>
      <c r="N10" t="n">
        <v>78</v>
      </c>
      <c r="O10" t="n">
        <v>69</v>
      </c>
      <c r="P10" t="n">
        <v>82</v>
      </c>
      <c r="Q10" t="n">
        <v>74</v>
      </c>
      <c r="R10" t="n">
        <v>73</v>
      </c>
      <c r="S10" t="n">
        <v>67</v>
      </c>
      <c r="T10" t="n">
        <v>60</v>
      </c>
      <c r="U10" t="n">
        <v>70</v>
      </c>
      <c r="V10" t="n">
        <v>65</v>
      </c>
      <c r="W10" t="n">
        <v>72</v>
      </c>
      <c r="X10" t="n">
        <v>67</v>
      </c>
      <c r="Y10" t="n">
        <v>67</v>
      </c>
      <c r="Z10" t="n">
        <v>82</v>
      </c>
      <c r="AA10" t="n">
        <v>81</v>
      </c>
      <c r="AB10" t="n">
        <v>77</v>
      </c>
      <c r="AC10" t="n">
        <v>70</v>
      </c>
      <c r="AD10" t="n">
        <v>70</v>
      </c>
      <c r="AE10" t="n">
        <v>9087</v>
      </c>
      <c r="AF10" t="n">
        <v>2004110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Tobias Rainer</t>
        </is>
      </c>
      <c r="B11" t="inlineStr">
        <is>
          <t>Holbach</t>
        </is>
      </c>
      <c r="C11" t="inlineStr">
        <is>
          <t>C</t>
        </is>
      </c>
      <c r="D11" t="inlineStr">
        <is>
          <t>N/A</t>
        </is>
      </c>
      <c r="E11" t="n">
        <v>17</v>
      </c>
      <c r="F11" t="n">
        <v>2005</v>
      </c>
      <c r="G11" t="n">
        <v>9</v>
      </c>
      <c r="H11" t="n">
        <v>7</v>
      </c>
      <c r="J11" t="n">
        <v>2.05</v>
      </c>
      <c r="K11" t="n">
        <v>103</v>
      </c>
      <c r="L11" t="n">
        <v>84</v>
      </c>
      <c r="M11" t="n">
        <v>67</v>
      </c>
      <c r="N11" t="n">
        <v>50</v>
      </c>
      <c r="O11" t="n">
        <v>69</v>
      </c>
      <c r="P11" t="n">
        <v>75</v>
      </c>
      <c r="Q11" t="n">
        <v>84</v>
      </c>
      <c r="R11" t="n">
        <v>55</v>
      </c>
      <c r="S11" t="n">
        <v>56</v>
      </c>
      <c r="T11" t="n">
        <v>79</v>
      </c>
      <c r="U11" t="n">
        <v>86</v>
      </c>
      <c r="V11" t="n">
        <v>84</v>
      </c>
      <c r="W11" t="n">
        <v>60</v>
      </c>
      <c r="X11" t="n">
        <v>88</v>
      </c>
      <c r="Y11" t="n">
        <v>69</v>
      </c>
      <c r="Z11" t="n">
        <v>61</v>
      </c>
      <c r="AA11" t="n">
        <v>84</v>
      </c>
      <c r="AB11" t="n">
        <v>86</v>
      </c>
      <c r="AC11" t="n">
        <v>64</v>
      </c>
      <c r="AD11" t="n">
        <v>65</v>
      </c>
      <c r="AE11" t="n">
        <v>9017</v>
      </c>
      <c r="AF11" t="n">
        <v>2000160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Felix</t>
        </is>
      </c>
      <c r="B12" t="inlineStr">
        <is>
          <t>Kiehlneker</t>
        </is>
      </c>
      <c r="C12" t="inlineStr">
        <is>
          <t>C</t>
        </is>
      </c>
      <c r="D12" t="inlineStr">
        <is>
          <t>N/A</t>
        </is>
      </c>
      <c r="E12" t="n">
        <v>6</v>
      </c>
      <c r="F12" t="n">
        <v>2008</v>
      </c>
      <c r="G12" t="n">
        <v>2</v>
      </c>
      <c r="H12" t="n">
        <v>23</v>
      </c>
      <c r="J12" t="n">
        <v>2.12</v>
      </c>
      <c r="K12" t="n">
        <v>105</v>
      </c>
      <c r="L12" t="n">
        <v>93</v>
      </c>
      <c r="M12" t="n">
        <v>66</v>
      </c>
      <c r="N12" t="n">
        <v>54</v>
      </c>
      <c r="O12" t="n">
        <v>60</v>
      </c>
      <c r="P12" t="n">
        <v>84</v>
      </c>
      <c r="Q12" t="n">
        <v>85</v>
      </c>
      <c r="R12" t="n">
        <v>54</v>
      </c>
      <c r="S12" t="n">
        <v>55</v>
      </c>
      <c r="T12" t="n">
        <v>81</v>
      </c>
      <c r="U12" t="n">
        <v>92</v>
      </c>
      <c r="V12" t="n">
        <v>88</v>
      </c>
      <c r="W12" t="n">
        <v>59</v>
      </c>
      <c r="X12" t="n">
        <v>92</v>
      </c>
      <c r="Y12" t="n">
        <v>89</v>
      </c>
      <c r="Z12" t="n">
        <v>53</v>
      </c>
      <c r="AA12" t="n">
        <v>83</v>
      </c>
      <c r="AB12" t="n">
        <v>85</v>
      </c>
      <c r="AC12" t="n">
        <v>62</v>
      </c>
      <c r="AD12" t="n">
        <v>64</v>
      </c>
      <c r="AE12" t="n">
        <v>9022</v>
      </c>
      <c r="AF12" t="n">
        <v>2001368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Joel</t>
        </is>
      </c>
      <c r="B13" t="inlineStr">
        <is>
          <t>Lindsay</t>
        </is>
      </c>
      <c r="C13" t="inlineStr">
        <is>
          <t>C</t>
        </is>
      </c>
      <c r="D13" t="inlineStr">
        <is>
          <t>N/A</t>
        </is>
      </c>
      <c r="E13" t="n">
        <v>28</v>
      </c>
      <c r="F13" t="n">
        <v>2008</v>
      </c>
      <c r="G13" t="n">
        <v>2</v>
      </c>
      <c r="H13" t="n">
        <v>28</v>
      </c>
      <c r="J13" t="n">
        <v>2.11</v>
      </c>
      <c r="K13" t="n">
        <v>90</v>
      </c>
      <c r="L13" t="n">
        <v>83</v>
      </c>
      <c r="M13" t="n">
        <v>66</v>
      </c>
      <c r="N13" t="n">
        <v>54</v>
      </c>
      <c r="O13" t="n">
        <v>68</v>
      </c>
      <c r="P13" t="n">
        <v>74</v>
      </c>
      <c r="Q13" t="n">
        <v>85</v>
      </c>
      <c r="R13" t="n">
        <v>54</v>
      </c>
      <c r="S13" t="n">
        <v>55</v>
      </c>
      <c r="T13" t="n">
        <v>78</v>
      </c>
      <c r="U13" t="n">
        <v>87</v>
      </c>
      <c r="V13" t="n">
        <v>88</v>
      </c>
      <c r="W13" t="n">
        <v>59</v>
      </c>
      <c r="X13" t="n">
        <v>89</v>
      </c>
      <c r="Y13" t="n">
        <v>89</v>
      </c>
      <c r="Z13" t="n">
        <v>56</v>
      </c>
      <c r="AA13" t="n">
        <v>83</v>
      </c>
      <c r="AB13" t="n">
        <v>82</v>
      </c>
      <c r="AC13" t="n">
        <v>62</v>
      </c>
      <c r="AD13" t="n">
        <v>64</v>
      </c>
      <c r="AE13" t="n">
        <v>9170</v>
      </c>
      <c r="AF13" t="n">
        <v>2004732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  <row r="14">
      <c r="A14" t="inlineStr">
        <is>
          <t>Yanu</t>
        </is>
      </c>
      <c r="B14" t="inlineStr">
        <is>
          <t>Slingerland</t>
        </is>
      </c>
      <c r="C14" t="inlineStr">
        <is>
          <t>SG</t>
        </is>
      </c>
      <c r="D14" t="inlineStr">
        <is>
          <t>N/A</t>
        </is>
      </c>
      <c r="E14" t="n">
        <v>3</v>
      </c>
      <c r="F14" t="n">
        <v>2008</v>
      </c>
      <c r="G14" t="n">
        <v>3</v>
      </c>
      <c r="H14" t="n">
        <v>15</v>
      </c>
      <c r="J14" t="n">
        <v>1.94</v>
      </c>
      <c r="K14" t="n">
        <v>78</v>
      </c>
      <c r="L14" t="n">
        <v>76</v>
      </c>
      <c r="M14" t="n">
        <v>79</v>
      </c>
      <c r="N14" t="n">
        <v>60</v>
      </c>
      <c r="O14" t="n">
        <v>89</v>
      </c>
      <c r="P14" t="n">
        <v>80</v>
      </c>
      <c r="Q14" t="n">
        <v>66</v>
      </c>
      <c r="R14" t="n">
        <v>80</v>
      </c>
      <c r="S14" t="n">
        <v>69</v>
      </c>
      <c r="T14" t="n">
        <v>56</v>
      </c>
      <c r="U14" t="n">
        <v>59</v>
      </c>
      <c r="V14" t="n">
        <v>59</v>
      </c>
      <c r="W14" t="n">
        <v>76</v>
      </c>
      <c r="X14" t="n">
        <v>54</v>
      </c>
      <c r="Y14" t="n">
        <v>59</v>
      </c>
      <c r="Z14" t="n">
        <v>90</v>
      </c>
      <c r="AA14" t="n">
        <v>81</v>
      </c>
      <c r="AB14" t="n">
        <v>75</v>
      </c>
      <c r="AC14" t="n">
        <v>69</v>
      </c>
      <c r="AD14" t="n">
        <v>69</v>
      </c>
      <c r="AE14" t="n">
        <v>9030</v>
      </c>
      <c r="AF14" t="n">
        <v>2001947</v>
      </c>
      <c r="AG14">
        <f>IF(ISNA(MATCH($C14,'_Overall_Model'!$A$2:$A$6,0)),"",ROUND(SUMPRODUCT(L14:AD14,INDEX('_Overall_Model'!$B$2:$T$6,MATCH($C14,'_Overall_Model'!$A$2:$A$6,0),0))+INDEX('_Overall_Model'!$U$2:$U$6,MATCH($C14,'_Overall_Model'!$A$2:$A$6,0))+INDEX('_Overall_Model'!$V$2:$V$6,MATCH($C14,'_Overall_Model'!$A$2:$A$6,0))*IF(Q14&gt;=75,99,IF(Q14&gt;=60,50,0))+INDEX('_Overall_Model'!$W$2:$W$6,MATCH($C14,'_Overall_Model'!$A$2:$A$6,0))*J14+INDEX('_Overall_Model'!$X$2:$X$6,MATCH($C14,'_Overall_Model'!$A$2:$A$6,0))*K14,0))</f>
        <v/>
      </c>
    </row>
    <row r="15">
      <c r="A15" t="inlineStr">
        <is>
          <t>Lennart</t>
        </is>
      </c>
      <c r="B15" t="inlineStr">
        <is>
          <t>Zeuch</t>
        </is>
      </c>
      <c r="C15" t="inlineStr">
        <is>
          <t>PF</t>
        </is>
      </c>
      <c r="D15" t="inlineStr">
        <is>
          <t>N/A</t>
        </is>
      </c>
      <c r="E15" t="n">
        <v>8</v>
      </c>
      <c r="F15" t="n">
        <v>2009</v>
      </c>
      <c r="G15" t="n">
        <v>6</v>
      </c>
      <c r="H15" t="n">
        <v>22</v>
      </c>
      <c r="J15" t="n">
        <v>2.1</v>
      </c>
      <c r="K15" t="n">
        <v>100</v>
      </c>
      <c r="L15" t="n">
        <v>78</v>
      </c>
      <c r="M15" t="n">
        <v>70</v>
      </c>
      <c r="N15" t="n">
        <v>66</v>
      </c>
      <c r="O15" t="n">
        <v>68</v>
      </c>
      <c r="P15" t="n">
        <v>75</v>
      </c>
      <c r="Q15" t="n">
        <v>79</v>
      </c>
      <c r="R15" t="n">
        <v>61</v>
      </c>
      <c r="S15" t="n">
        <v>61</v>
      </c>
      <c r="T15" t="n">
        <v>74</v>
      </c>
      <c r="U15" t="n">
        <v>83</v>
      </c>
      <c r="V15" t="n">
        <v>80</v>
      </c>
      <c r="W15" t="n">
        <v>63</v>
      </c>
      <c r="X15" t="n">
        <v>89</v>
      </c>
      <c r="Y15" t="n">
        <v>84</v>
      </c>
      <c r="Z15" t="n">
        <v>65</v>
      </c>
      <c r="AA15" t="n">
        <v>80</v>
      </c>
      <c r="AB15" t="n">
        <v>83</v>
      </c>
      <c r="AC15" t="n">
        <v>64</v>
      </c>
      <c r="AD15" t="n">
        <v>64</v>
      </c>
      <c r="AE15" t="n">
        <v>9186</v>
      </c>
      <c r="AF15" t="n">
        <v>2005025</v>
      </c>
      <c r="AG15">
        <f>IF(ISNA(MATCH($C15,'_Overall_Model'!$A$2:$A$6,0)),"",ROUND(SUMPRODUCT(L15:AD15,INDEX('_Overall_Model'!$B$2:$T$6,MATCH($C15,'_Overall_Model'!$A$2:$A$6,0),0))+INDEX('_Overall_Model'!$U$2:$U$6,MATCH($C15,'_Overall_Model'!$A$2:$A$6,0))+INDEX('_Overall_Model'!$V$2:$V$6,MATCH($C15,'_Overall_Model'!$A$2:$A$6,0))*IF(Q15&gt;=75,99,IF(Q15&gt;=60,50,0))+INDEX('_Overall_Model'!$W$2:$W$6,MATCH($C15,'_Overall_Model'!$A$2:$A$6,0))*J15+INDEX('_Overall_Model'!$X$2:$X$6,MATCH($C15,'_Overall_Model'!$A$2:$A$6,0))*K15,0))</f>
        <v/>
      </c>
    </row>
    <row r="16">
      <c r="A16" t="inlineStr">
        <is>
          <t>Marko</t>
        </is>
      </c>
      <c r="B16" t="inlineStr">
        <is>
          <t>Volf</t>
        </is>
      </c>
      <c r="C16" t="inlineStr">
        <is>
          <t>SG</t>
        </is>
      </c>
      <c r="D16" t="inlineStr">
        <is>
          <t>N/A</t>
        </is>
      </c>
      <c r="E16" t="n">
        <v>22</v>
      </c>
      <c r="F16" t="n">
        <v>2010</v>
      </c>
      <c r="G16" t="n">
        <v>4</v>
      </c>
      <c r="H16" t="n">
        <v>30</v>
      </c>
      <c r="J16" t="n">
        <v>1.93</v>
      </c>
      <c r="K16" t="n">
        <v>80</v>
      </c>
      <c r="L16" t="n">
        <v>84</v>
      </c>
      <c r="M16" t="n">
        <v>77</v>
      </c>
      <c r="N16" t="n">
        <v>79</v>
      </c>
      <c r="O16" t="n">
        <v>87</v>
      </c>
      <c r="P16" t="n">
        <v>88</v>
      </c>
      <c r="Q16" t="n">
        <v>64</v>
      </c>
      <c r="R16" t="n">
        <v>86</v>
      </c>
      <c r="S16" t="n">
        <v>70</v>
      </c>
      <c r="T16" t="n">
        <v>57</v>
      </c>
      <c r="U16" t="n">
        <v>57</v>
      </c>
      <c r="V16" t="n">
        <v>57</v>
      </c>
      <c r="W16" t="n">
        <v>74</v>
      </c>
      <c r="X16" t="n">
        <v>52</v>
      </c>
      <c r="Y16" t="n">
        <v>57</v>
      </c>
      <c r="Z16" t="n">
        <v>88</v>
      </c>
      <c r="AA16" t="n">
        <v>79</v>
      </c>
      <c r="AB16" t="n">
        <v>73</v>
      </c>
      <c r="AC16" t="n">
        <v>67</v>
      </c>
      <c r="AD16" t="n">
        <v>67</v>
      </c>
      <c r="AE16" t="n">
        <v>9031</v>
      </c>
      <c r="AF16" t="n">
        <v>2001950</v>
      </c>
      <c r="AG16">
        <f>IF(ISNA(MATCH($C16,'_Overall_Model'!$A$2:$A$6,0)),"",ROUND(SUMPRODUCT(L16:AD16,INDEX('_Overall_Model'!$B$2:$T$6,MATCH($C16,'_Overall_Model'!$A$2:$A$6,0),0))+INDEX('_Overall_Model'!$U$2:$U$6,MATCH($C16,'_Overall_Model'!$A$2:$A$6,0))+INDEX('_Overall_Model'!$V$2:$V$6,MATCH($C16,'_Overall_Model'!$A$2:$A$6,0))*IF(Q16&gt;=75,99,IF(Q16&gt;=60,50,0))+INDEX('_Overall_Model'!$W$2:$W$6,MATCH($C16,'_Overall_Model'!$A$2:$A$6,0))*J16+INDEX('_Overall_Model'!$X$2:$X$6,MATCH($C16,'_Overall_Model'!$A$2:$A$6,0))*K16,0)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G13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Jon'll Larenz</t>
        </is>
      </c>
      <c r="B2" t="inlineStr">
        <is>
          <t>Fugett</t>
        </is>
      </c>
      <c r="C2" t="inlineStr">
        <is>
          <t>PG</t>
        </is>
      </c>
      <c r="D2" t="inlineStr">
        <is>
          <t>N/A</t>
        </is>
      </c>
      <c r="E2" t="n">
        <v>0</v>
      </c>
      <c r="F2" t="n">
        <v>1999</v>
      </c>
      <c r="G2" t="n">
        <v>11</v>
      </c>
      <c r="H2" t="n">
        <v>28</v>
      </c>
      <c r="J2" t="n">
        <v>1.83</v>
      </c>
      <c r="K2" t="n">
        <v>85</v>
      </c>
      <c r="L2" t="n">
        <v>88</v>
      </c>
      <c r="M2" t="n">
        <v>93</v>
      </c>
      <c r="N2" t="n">
        <v>67</v>
      </c>
      <c r="O2" t="n">
        <v>97</v>
      </c>
      <c r="P2" t="n">
        <v>99</v>
      </c>
      <c r="Q2" t="n">
        <v>69</v>
      </c>
      <c r="R2" t="n">
        <v>99</v>
      </c>
      <c r="S2" t="n">
        <v>99</v>
      </c>
      <c r="T2" t="n">
        <v>66</v>
      </c>
      <c r="U2" t="n">
        <v>56</v>
      </c>
      <c r="V2" t="n">
        <v>56</v>
      </c>
      <c r="W2" t="n">
        <v>99</v>
      </c>
      <c r="X2" t="n">
        <v>62</v>
      </c>
      <c r="Y2" t="n">
        <v>64</v>
      </c>
      <c r="Z2" t="n">
        <v>98</v>
      </c>
      <c r="AA2" t="n">
        <v>89</v>
      </c>
      <c r="AB2" t="n">
        <v>84</v>
      </c>
      <c r="AC2" t="n">
        <v>84</v>
      </c>
      <c r="AD2" t="n">
        <v>85</v>
      </c>
      <c r="AE2" t="n">
        <v>9151</v>
      </c>
      <c r="AF2" t="n">
        <v>2004483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Emmanuel</t>
        </is>
      </c>
      <c r="B3" t="inlineStr">
        <is>
          <t>Ugbo</t>
        </is>
      </c>
      <c r="C3" t="inlineStr">
        <is>
          <t>PF</t>
        </is>
      </c>
      <c r="D3" t="inlineStr">
        <is>
          <t>N/A</t>
        </is>
      </c>
      <c r="E3" t="n">
        <v>1</v>
      </c>
      <c r="F3" t="n">
        <v>2003</v>
      </c>
      <c r="G3" t="n">
        <v>4</v>
      </c>
      <c r="H3" t="n">
        <v>14</v>
      </c>
      <c r="J3" t="n">
        <v>2.02</v>
      </c>
      <c r="K3" t="n">
        <v>110</v>
      </c>
      <c r="L3" t="n">
        <v>88</v>
      </c>
      <c r="M3" t="n">
        <v>80</v>
      </c>
      <c r="N3" t="n">
        <v>76</v>
      </c>
      <c r="O3" t="n">
        <v>81</v>
      </c>
      <c r="P3" t="n">
        <v>85</v>
      </c>
      <c r="Q3" t="n">
        <v>84</v>
      </c>
      <c r="R3" t="n">
        <v>68</v>
      </c>
      <c r="S3" t="n">
        <v>71</v>
      </c>
      <c r="T3" t="n">
        <v>83</v>
      </c>
      <c r="U3" t="n">
        <v>90</v>
      </c>
      <c r="V3" t="n">
        <v>81</v>
      </c>
      <c r="W3" t="n">
        <v>74</v>
      </c>
      <c r="X3" t="n">
        <v>95</v>
      </c>
      <c r="Y3" t="n">
        <v>92</v>
      </c>
      <c r="Z3" t="n">
        <v>70</v>
      </c>
      <c r="AA3" t="n">
        <v>88</v>
      </c>
      <c r="AB3" t="n">
        <v>94</v>
      </c>
      <c r="AC3" t="n">
        <v>79</v>
      </c>
      <c r="AD3" t="n">
        <v>78</v>
      </c>
      <c r="AE3" t="n">
        <v>9147</v>
      </c>
      <c r="AF3" t="n">
        <v>2004480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Christopher</t>
        </is>
      </c>
      <c r="B4" t="inlineStr">
        <is>
          <t>Schultz</t>
        </is>
      </c>
      <c r="C4" t="inlineStr">
        <is>
          <t>SF</t>
        </is>
      </c>
      <c r="D4" t="inlineStr">
        <is>
          <t>N/A</t>
        </is>
      </c>
      <c r="E4" t="n">
        <v>13</v>
      </c>
      <c r="F4" t="n">
        <v>2003</v>
      </c>
      <c r="G4" t="n">
        <v>9</v>
      </c>
      <c r="H4" t="n">
        <v>21</v>
      </c>
      <c r="J4" t="n">
        <v>1.95</v>
      </c>
      <c r="K4" t="n">
        <v>100</v>
      </c>
      <c r="L4" t="n">
        <v>83</v>
      </c>
      <c r="M4" t="n">
        <v>83</v>
      </c>
      <c r="N4" t="n">
        <v>83</v>
      </c>
      <c r="O4" t="n">
        <v>88</v>
      </c>
      <c r="P4" t="n">
        <v>87</v>
      </c>
      <c r="Q4" t="n">
        <v>77</v>
      </c>
      <c r="R4" t="n">
        <v>80</v>
      </c>
      <c r="S4" t="n">
        <v>74</v>
      </c>
      <c r="T4" t="n">
        <v>65</v>
      </c>
      <c r="U4" t="n">
        <v>77</v>
      </c>
      <c r="V4" t="n">
        <v>70</v>
      </c>
      <c r="W4" t="n">
        <v>80</v>
      </c>
      <c r="X4" t="n">
        <v>75</v>
      </c>
      <c r="Y4" t="n">
        <v>77</v>
      </c>
      <c r="Z4" t="n">
        <v>85</v>
      </c>
      <c r="AA4" t="n">
        <v>86</v>
      </c>
      <c r="AB4" t="n">
        <v>85</v>
      </c>
      <c r="AC4" t="n">
        <v>82</v>
      </c>
      <c r="AD4" t="n">
        <v>81</v>
      </c>
      <c r="AE4" t="n">
        <v>9150</v>
      </c>
      <c r="AF4" t="n">
        <v>2004482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Nik Philip</t>
        </is>
      </c>
      <c r="B5" t="inlineStr">
        <is>
          <t>Schlipf</t>
        </is>
      </c>
      <c r="C5" t="inlineStr">
        <is>
          <t>SG</t>
        </is>
      </c>
      <c r="D5" t="inlineStr">
        <is>
          <t>N/A</t>
        </is>
      </c>
      <c r="E5" t="n">
        <v>9</v>
      </c>
      <c r="F5" t="n">
        <v>2002</v>
      </c>
      <c r="G5" t="n">
        <v>8</v>
      </c>
      <c r="H5" t="n">
        <v>9</v>
      </c>
      <c r="J5" t="n">
        <v>1.95</v>
      </c>
      <c r="K5" t="n">
        <v>88</v>
      </c>
      <c r="L5" t="n">
        <v>83</v>
      </c>
      <c r="M5" t="n">
        <v>86</v>
      </c>
      <c r="N5" t="n">
        <v>95</v>
      </c>
      <c r="O5" t="n">
        <v>91</v>
      </c>
      <c r="P5" t="n">
        <v>87</v>
      </c>
      <c r="Q5" t="n">
        <v>70</v>
      </c>
      <c r="R5" t="n">
        <v>84</v>
      </c>
      <c r="S5" t="n">
        <v>76</v>
      </c>
      <c r="T5" t="n">
        <v>62</v>
      </c>
      <c r="U5" t="n">
        <v>64</v>
      </c>
      <c r="V5" t="n">
        <v>64</v>
      </c>
      <c r="W5" t="n">
        <v>84</v>
      </c>
      <c r="X5" t="n">
        <v>59</v>
      </c>
      <c r="Y5" t="n">
        <v>64</v>
      </c>
      <c r="Z5" t="n">
        <v>89</v>
      </c>
      <c r="AA5" t="n">
        <v>86</v>
      </c>
      <c r="AB5" t="n">
        <v>80</v>
      </c>
      <c r="AC5" t="n">
        <v>79</v>
      </c>
      <c r="AD5" t="n">
        <v>80</v>
      </c>
      <c r="AE5" t="n">
        <v>9191</v>
      </c>
      <c r="AF5" t="n">
        <v>2005106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Eyassu</t>
        </is>
      </c>
      <c r="B6" t="inlineStr">
        <is>
          <t>Worku</t>
        </is>
      </c>
      <c r="C6" t="inlineStr">
        <is>
          <t>PG</t>
        </is>
      </c>
      <c r="D6" t="inlineStr">
        <is>
          <t>N/A</t>
        </is>
      </c>
      <c r="E6" t="n">
        <v>24</v>
      </c>
      <c r="F6" t="n">
        <v>1998</v>
      </c>
      <c r="G6" t="n">
        <v>10</v>
      </c>
      <c r="H6" t="n">
        <v>18</v>
      </c>
      <c r="J6" t="n">
        <v>1.88</v>
      </c>
      <c r="K6" t="n">
        <v>79</v>
      </c>
      <c r="L6" t="n">
        <v>80</v>
      </c>
      <c r="M6" t="n">
        <v>85</v>
      </c>
      <c r="N6" t="n">
        <v>67</v>
      </c>
      <c r="O6" t="n">
        <v>69</v>
      </c>
      <c r="P6" t="n">
        <v>91</v>
      </c>
      <c r="Q6" t="n">
        <v>64</v>
      </c>
      <c r="R6" t="n">
        <v>96</v>
      </c>
      <c r="S6" t="n">
        <v>93</v>
      </c>
      <c r="T6" t="n">
        <v>59</v>
      </c>
      <c r="U6" t="n">
        <v>54</v>
      </c>
      <c r="V6" t="n">
        <v>54</v>
      </c>
      <c r="W6" t="n">
        <v>93</v>
      </c>
      <c r="X6" t="n">
        <v>58</v>
      </c>
      <c r="Y6" t="n">
        <v>60</v>
      </c>
      <c r="Z6" t="n">
        <v>94</v>
      </c>
      <c r="AA6" t="n">
        <v>85</v>
      </c>
      <c r="AB6" t="n">
        <v>80</v>
      </c>
      <c r="AC6" t="n">
        <v>79</v>
      </c>
      <c r="AD6" t="n">
        <v>80</v>
      </c>
      <c r="AE6" t="n">
        <v>9148</v>
      </c>
      <c r="AF6" t="n">
        <v>2004481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Nicolas Ignacio</t>
        </is>
      </c>
      <c r="B7" t="inlineStr">
        <is>
          <t>Marty-Decker</t>
        </is>
      </c>
      <c r="C7" t="inlineStr">
        <is>
          <t>SG</t>
        </is>
      </c>
      <c r="D7" t="inlineStr">
        <is>
          <t>N/A</t>
        </is>
      </c>
      <c r="E7" t="n">
        <v>10</v>
      </c>
      <c r="F7" t="n">
        <v>2005</v>
      </c>
      <c r="G7" t="n">
        <v>2</v>
      </c>
      <c r="H7" t="n">
        <v>28</v>
      </c>
      <c r="J7" t="n">
        <v>1.9</v>
      </c>
      <c r="K7" t="n">
        <v>84</v>
      </c>
      <c r="L7" t="n">
        <v>80</v>
      </c>
      <c r="M7" t="n">
        <v>83</v>
      </c>
      <c r="N7" t="n">
        <v>67</v>
      </c>
      <c r="O7" t="n">
        <v>69</v>
      </c>
      <c r="P7" t="n">
        <v>87</v>
      </c>
      <c r="Q7" t="n">
        <v>68</v>
      </c>
      <c r="R7" t="n">
        <v>86</v>
      </c>
      <c r="S7" t="n">
        <v>73</v>
      </c>
      <c r="T7" t="n">
        <v>60</v>
      </c>
      <c r="U7" t="n">
        <v>59</v>
      </c>
      <c r="V7" t="n">
        <v>59</v>
      </c>
      <c r="W7" t="n">
        <v>80</v>
      </c>
      <c r="X7" t="n">
        <v>58</v>
      </c>
      <c r="Y7" t="n">
        <v>63</v>
      </c>
      <c r="Z7" t="n">
        <v>96</v>
      </c>
      <c r="AA7" t="n">
        <v>85</v>
      </c>
      <c r="AB7" t="n">
        <v>79</v>
      </c>
      <c r="AC7" t="n">
        <v>73</v>
      </c>
      <c r="AD7" t="n">
        <v>73</v>
      </c>
      <c r="AE7" t="n">
        <v>5025</v>
      </c>
      <c r="AF7" t="n">
        <v>6272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Kevin</t>
        </is>
      </c>
      <c r="B8" t="inlineStr">
        <is>
          <t>Kollmar</t>
        </is>
      </c>
      <c r="C8" t="inlineStr">
        <is>
          <t>PG</t>
        </is>
      </c>
      <c r="D8" t="inlineStr">
        <is>
          <t>N/A</t>
        </is>
      </c>
      <c r="E8" t="n">
        <v>31</v>
      </c>
      <c r="F8" t="n">
        <v>2002</v>
      </c>
      <c r="G8" t="n">
        <v>4</v>
      </c>
      <c r="H8" t="n">
        <v>7</v>
      </c>
      <c r="J8" t="n">
        <v>1.89</v>
      </c>
      <c r="K8" t="n">
        <v>86</v>
      </c>
      <c r="L8" t="n">
        <v>78</v>
      </c>
      <c r="M8" t="n">
        <v>83</v>
      </c>
      <c r="N8" t="n">
        <v>85</v>
      </c>
      <c r="O8" t="n">
        <v>69</v>
      </c>
      <c r="P8" t="n">
        <v>89</v>
      </c>
      <c r="Q8" t="n">
        <v>63</v>
      </c>
      <c r="R8" t="n">
        <v>94</v>
      </c>
      <c r="S8" t="n">
        <v>90</v>
      </c>
      <c r="T8" t="n">
        <v>58</v>
      </c>
      <c r="U8" t="n">
        <v>54</v>
      </c>
      <c r="V8" t="n">
        <v>54</v>
      </c>
      <c r="W8" t="n">
        <v>90</v>
      </c>
      <c r="X8" t="n">
        <v>58</v>
      </c>
      <c r="Y8" t="n">
        <v>58</v>
      </c>
      <c r="Z8" t="n">
        <v>92</v>
      </c>
      <c r="AA8" t="n">
        <v>85</v>
      </c>
      <c r="AB8" t="n">
        <v>80</v>
      </c>
      <c r="AC8" t="n">
        <v>77</v>
      </c>
      <c r="AD8" t="n">
        <v>79</v>
      </c>
      <c r="AE8" t="n">
        <v>9153</v>
      </c>
      <c r="AF8" t="n">
        <v>2004485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Matej</t>
        </is>
      </c>
      <c r="B9" t="inlineStr">
        <is>
          <t>Silic</t>
        </is>
      </c>
      <c r="C9" t="inlineStr">
        <is>
          <t>SG</t>
        </is>
      </c>
      <c r="D9" t="inlineStr">
        <is>
          <t>N/A</t>
        </is>
      </c>
      <c r="E9" t="n">
        <v>5</v>
      </c>
      <c r="F9" t="n">
        <v>2003</v>
      </c>
      <c r="G9" t="n">
        <v>4</v>
      </c>
      <c r="H9" t="n">
        <v>26</v>
      </c>
      <c r="J9" t="n">
        <v>1.88</v>
      </c>
      <c r="K9" t="n">
        <v>82</v>
      </c>
      <c r="L9" t="n">
        <v>79</v>
      </c>
      <c r="M9" t="n">
        <v>82</v>
      </c>
      <c r="N9" t="n">
        <v>67</v>
      </c>
      <c r="O9" t="n">
        <v>89</v>
      </c>
      <c r="P9" t="n">
        <v>86</v>
      </c>
      <c r="Q9" t="n">
        <v>65</v>
      </c>
      <c r="R9" t="n">
        <v>85</v>
      </c>
      <c r="S9" t="n">
        <v>74</v>
      </c>
      <c r="T9" t="n">
        <v>59</v>
      </c>
      <c r="U9" t="n">
        <v>58</v>
      </c>
      <c r="V9" t="n">
        <v>58</v>
      </c>
      <c r="W9" t="n">
        <v>79</v>
      </c>
      <c r="X9" t="n">
        <v>57</v>
      </c>
      <c r="Y9" t="n">
        <v>64</v>
      </c>
      <c r="Z9" t="n">
        <v>91</v>
      </c>
      <c r="AA9" t="n">
        <v>84</v>
      </c>
      <c r="AB9" t="n">
        <v>78</v>
      </c>
      <c r="AC9" t="n">
        <v>77</v>
      </c>
      <c r="AD9" t="n">
        <v>78</v>
      </c>
      <c r="AE9" t="n">
        <v>5569</v>
      </c>
      <c r="AF9" t="n">
        <v>2002140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Nicholas Gerard</t>
        </is>
      </c>
      <c r="B10" t="inlineStr">
        <is>
          <t>Spinoso</t>
        </is>
      </c>
      <c r="C10" t="inlineStr">
        <is>
          <t>C</t>
        </is>
      </c>
      <c r="D10" t="inlineStr">
        <is>
          <t>N/A</t>
        </is>
      </c>
      <c r="E10" t="n">
        <v>3</v>
      </c>
      <c r="F10" t="n">
        <v>2002</v>
      </c>
      <c r="G10" t="n">
        <v>10</v>
      </c>
      <c r="H10" t="n">
        <v>13</v>
      </c>
      <c r="J10" t="n">
        <v>2.06</v>
      </c>
      <c r="K10" t="n">
        <v>111</v>
      </c>
      <c r="L10" t="n">
        <v>89</v>
      </c>
      <c r="M10" t="n">
        <v>69</v>
      </c>
      <c r="N10" t="n">
        <v>52</v>
      </c>
      <c r="O10" t="n">
        <v>60</v>
      </c>
      <c r="P10" t="n">
        <v>80</v>
      </c>
      <c r="Q10" t="n">
        <v>84</v>
      </c>
      <c r="R10" t="n">
        <v>56</v>
      </c>
      <c r="S10" t="n">
        <v>60</v>
      </c>
      <c r="T10" t="n">
        <v>82</v>
      </c>
      <c r="U10" t="n">
        <v>93</v>
      </c>
      <c r="V10" t="n">
        <v>89</v>
      </c>
      <c r="W10" t="n">
        <v>62</v>
      </c>
      <c r="X10" t="n">
        <v>90</v>
      </c>
      <c r="Y10" t="n">
        <v>73</v>
      </c>
      <c r="Z10" t="n">
        <v>56</v>
      </c>
      <c r="AA10" t="n">
        <v>86</v>
      </c>
      <c r="AB10" t="n">
        <v>88</v>
      </c>
      <c r="AC10" t="n">
        <v>70</v>
      </c>
      <c r="AD10" t="n">
        <v>72</v>
      </c>
      <c r="AE10" t="n">
        <v>9152</v>
      </c>
      <c r="AF10" t="n">
        <v>2004484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Leonard</t>
        </is>
      </c>
      <c r="B11" t="inlineStr">
        <is>
          <t>Kröger</t>
        </is>
      </c>
      <c r="C11" t="inlineStr">
        <is>
          <t>C</t>
        </is>
      </c>
      <c r="D11" t="inlineStr">
        <is>
          <t>N/A</t>
        </is>
      </c>
      <c r="E11" t="n">
        <v>26</v>
      </c>
      <c r="F11" t="n">
        <v>2008</v>
      </c>
      <c r="G11" t="n">
        <v>12</v>
      </c>
      <c r="H11" t="n">
        <v>2</v>
      </c>
      <c r="J11" t="n">
        <v>2.05</v>
      </c>
      <c r="K11" t="n">
        <v>101</v>
      </c>
      <c r="L11" t="n">
        <v>83</v>
      </c>
      <c r="M11" t="n">
        <v>66</v>
      </c>
      <c r="N11" t="n">
        <v>70</v>
      </c>
      <c r="O11" t="n">
        <v>68</v>
      </c>
      <c r="P11" t="n">
        <v>74</v>
      </c>
      <c r="Q11" t="n">
        <v>83</v>
      </c>
      <c r="R11" t="n">
        <v>54</v>
      </c>
      <c r="S11" t="n">
        <v>55</v>
      </c>
      <c r="T11" t="n">
        <v>78</v>
      </c>
      <c r="U11" t="n">
        <v>85</v>
      </c>
      <c r="V11" t="n">
        <v>83</v>
      </c>
      <c r="W11" t="n">
        <v>59</v>
      </c>
      <c r="X11" t="n">
        <v>87</v>
      </c>
      <c r="Y11" t="n">
        <v>84</v>
      </c>
      <c r="Z11" t="n">
        <v>60</v>
      </c>
      <c r="AA11" t="n">
        <v>83</v>
      </c>
      <c r="AB11" t="n">
        <v>85</v>
      </c>
      <c r="AC11" t="n">
        <v>62</v>
      </c>
      <c r="AD11" t="n">
        <v>64</v>
      </c>
      <c r="AE11" t="n">
        <v>5097</v>
      </c>
      <c r="AF11" t="n">
        <v>2001051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Levy Kaan</t>
        </is>
      </c>
      <c r="B12" t="inlineStr">
        <is>
          <t>Koyutürk</t>
        </is>
      </c>
      <c r="C12" t="inlineStr">
        <is>
          <t>PG</t>
        </is>
      </c>
      <c r="D12" t="inlineStr">
        <is>
          <t>N/A</t>
        </is>
      </c>
      <c r="E12" t="n">
        <v>12</v>
      </c>
      <c r="F12" t="n">
        <v>2009</v>
      </c>
      <c r="G12" t="n">
        <v>2</v>
      </c>
      <c r="H12" t="n">
        <v>5</v>
      </c>
      <c r="J12" t="n">
        <v>1.88</v>
      </c>
      <c r="K12" t="n">
        <v>75</v>
      </c>
      <c r="L12" t="n">
        <v>70</v>
      </c>
      <c r="M12" t="n">
        <v>75</v>
      </c>
      <c r="N12" t="n">
        <v>70</v>
      </c>
      <c r="O12" t="n">
        <v>80</v>
      </c>
      <c r="P12" t="n">
        <v>81</v>
      </c>
      <c r="Q12" t="n">
        <v>57</v>
      </c>
      <c r="R12" t="n">
        <v>86</v>
      </c>
      <c r="S12" t="n">
        <v>80</v>
      </c>
      <c r="T12" t="n">
        <v>50</v>
      </c>
      <c r="U12" t="n">
        <v>50</v>
      </c>
      <c r="V12" t="n">
        <v>50</v>
      </c>
      <c r="W12" t="n">
        <v>82</v>
      </c>
      <c r="X12" t="n">
        <v>50</v>
      </c>
      <c r="Y12" t="n">
        <v>50</v>
      </c>
      <c r="Z12" t="n">
        <v>90</v>
      </c>
      <c r="AA12" t="n">
        <v>77</v>
      </c>
      <c r="AB12" t="n">
        <v>72</v>
      </c>
      <c r="AC12" t="n">
        <v>65</v>
      </c>
      <c r="AD12" t="n">
        <v>65</v>
      </c>
      <c r="AE12" t="n">
        <v>9193</v>
      </c>
      <c r="AF12" t="n">
        <v>2005108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Hannes</t>
        </is>
      </c>
      <c r="B13" t="inlineStr">
        <is>
          <t>Frischemeier</t>
        </is>
      </c>
      <c r="C13" t="inlineStr">
        <is>
          <t>C</t>
        </is>
      </c>
      <c r="D13" t="inlineStr">
        <is>
          <t>N/A</t>
        </is>
      </c>
      <c r="E13" t="n">
        <v>11</v>
      </c>
      <c r="F13" t="n">
        <v>2009</v>
      </c>
      <c r="G13" t="n">
        <v>7</v>
      </c>
      <c r="H13" t="n">
        <v>15</v>
      </c>
      <c r="J13" t="n">
        <v>2.02</v>
      </c>
      <c r="K13" t="n">
        <v>93</v>
      </c>
      <c r="L13" t="n">
        <v>79</v>
      </c>
      <c r="M13" t="n">
        <v>62</v>
      </c>
      <c r="N13" t="n">
        <v>50</v>
      </c>
      <c r="O13" t="n">
        <v>62</v>
      </c>
      <c r="P13" t="n">
        <v>70</v>
      </c>
      <c r="Q13" t="n">
        <v>79</v>
      </c>
      <c r="R13" t="n">
        <v>50</v>
      </c>
      <c r="S13" t="n">
        <v>51</v>
      </c>
      <c r="T13" t="n">
        <v>74</v>
      </c>
      <c r="U13" t="n">
        <v>79</v>
      </c>
      <c r="V13" t="n">
        <v>79</v>
      </c>
      <c r="W13" t="n">
        <v>55</v>
      </c>
      <c r="X13" t="n">
        <v>80</v>
      </c>
      <c r="Y13" t="n">
        <v>80</v>
      </c>
      <c r="Z13" t="n">
        <v>56</v>
      </c>
      <c r="AA13" t="n">
        <v>79</v>
      </c>
      <c r="AB13" t="n">
        <v>78</v>
      </c>
      <c r="AC13" t="n">
        <v>58</v>
      </c>
      <c r="AD13" t="n">
        <v>60</v>
      </c>
      <c r="AE13" t="n">
        <v>9192</v>
      </c>
      <c r="AF13" t="n">
        <v>2005107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G15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Isaiah Rayshaud</t>
        </is>
      </c>
      <c r="B2" t="inlineStr">
        <is>
          <t>Hart</t>
        </is>
      </c>
      <c r="C2" t="inlineStr">
        <is>
          <t>PG</t>
        </is>
      </c>
      <c r="D2" t="inlineStr">
        <is>
          <t>N/A</t>
        </is>
      </c>
      <c r="E2" t="n">
        <v>4</v>
      </c>
      <c r="F2" t="n">
        <v>1999</v>
      </c>
      <c r="G2" t="n">
        <v>7</v>
      </c>
      <c r="H2" t="n">
        <v>5</v>
      </c>
      <c r="J2" t="n">
        <v>1.79</v>
      </c>
      <c r="K2" t="n">
        <v>83</v>
      </c>
      <c r="L2" t="n">
        <v>85</v>
      </c>
      <c r="M2" t="n">
        <v>90</v>
      </c>
      <c r="N2" t="n">
        <v>67</v>
      </c>
      <c r="O2" t="n">
        <v>96</v>
      </c>
      <c r="P2" t="n">
        <v>97</v>
      </c>
      <c r="Q2" t="n">
        <v>67</v>
      </c>
      <c r="R2" t="n">
        <v>99</v>
      </c>
      <c r="S2" t="n">
        <v>99</v>
      </c>
      <c r="T2" t="n">
        <v>64</v>
      </c>
      <c r="U2" t="n">
        <v>55</v>
      </c>
      <c r="V2" t="n">
        <v>55</v>
      </c>
      <c r="W2" t="n">
        <v>97</v>
      </c>
      <c r="X2" t="n">
        <v>61</v>
      </c>
      <c r="Y2" t="n">
        <v>61</v>
      </c>
      <c r="Z2" t="n">
        <v>99</v>
      </c>
      <c r="AA2" t="n">
        <v>88</v>
      </c>
      <c r="AB2" t="n">
        <v>83</v>
      </c>
      <c r="AC2" t="n">
        <v>80</v>
      </c>
      <c r="AD2" t="n">
        <v>84</v>
      </c>
      <c r="AE2" t="n">
        <v>9103</v>
      </c>
      <c r="AF2" t="n">
        <v>2002947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Zac</t>
        </is>
      </c>
      <c r="B3" t="inlineStr">
        <is>
          <t>Owens</t>
        </is>
      </c>
      <c r="C3" t="inlineStr">
        <is>
          <t>PG</t>
        </is>
      </c>
      <c r="D3" t="inlineStr">
        <is>
          <t>N/A</t>
        </is>
      </c>
      <c r="E3" t="n">
        <v>2</v>
      </c>
      <c r="F3" t="n">
        <v>1998</v>
      </c>
      <c r="G3" t="n">
        <v>12</v>
      </c>
      <c r="H3" t="n">
        <v>22</v>
      </c>
      <c r="J3" t="n">
        <v>1.83</v>
      </c>
      <c r="K3" t="n">
        <v>81</v>
      </c>
      <c r="L3" t="n">
        <v>83</v>
      </c>
      <c r="M3" t="n">
        <v>88</v>
      </c>
      <c r="N3" t="n">
        <v>83</v>
      </c>
      <c r="O3" t="n">
        <v>99</v>
      </c>
      <c r="P3" t="n">
        <v>95</v>
      </c>
      <c r="Q3" t="n">
        <v>66</v>
      </c>
      <c r="R3" t="n">
        <v>96</v>
      </c>
      <c r="S3" t="n">
        <v>93</v>
      </c>
      <c r="T3" t="n">
        <v>62</v>
      </c>
      <c r="U3" t="n">
        <v>55</v>
      </c>
      <c r="V3" t="n">
        <v>55</v>
      </c>
      <c r="W3" t="n">
        <v>97</v>
      </c>
      <c r="X3" t="n">
        <v>61</v>
      </c>
      <c r="Y3" t="n">
        <v>61</v>
      </c>
      <c r="Z3" t="n">
        <v>99</v>
      </c>
      <c r="AA3" t="n">
        <v>88</v>
      </c>
      <c r="AB3" t="n">
        <v>83</v>
      </c>
      <c r="AC3" t="n">
        <v>80</v>
      </c>
      <c r="AD3" t="n">
        <v>81</v>
      </c>
      <c r="AE3" t="n">
        <v>9077</v>
      </c>
      <c r="AF3" t="n">
        <v>2004014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Bazoumana</t>
        </is>
      </c>
      <c r="B4" t="inlineStr">
        <is>
          <t>Koné</t>
        </is>
      </c>
      <c r="C4" t="inlineStr">
        <is>
          <t>PG</t>
        </is>
      </c>
      <c r="D4" t="inlineStr">
        <is>
          <t>N/A</t>
        </is>
      </c>
      <c r="E4" t="n">
        <v>22</v>
      </c>
      <c r="F4" t="n">
        <v>1993</v>
      </c>
      <c r="G4" t="n">
        <v>12</v>
      </c>
      <c r="H4" t="n">
        <v>13</v>
      </c>
      <c r="J4" t="n">
        <v>1.93</v>
      </c>
      <c r="K4" t="n">
        <v>85</v>
      </c>
      <c r="L4" t="n">
        <v>82</v>
      </c>
      <c r="M4" t="n">
        <v>87</v>
      </c>
      <c r="N4" t="n">
        <v>89</v>
      </c>
      <c r="O4" t="n">
        <v>95</v>
      </c>
      <c r="P4" t="n">
        <v>90</v>
      </c>
      <c r="Q4" t="n">
        <v>68</v>
      </c>
      <c r="R4" t="n">
        <v>95</v>
      </c>
      <c r="S4" t="n">
        <v>97</v>
      </c>
      <c r="T4" t="n">
        <v>61</v>
      </c>
      <c r="U4" t="n">
        <v>60</v>
      </c>
      <c r="V4" t="n">
        <v>60</v>
      </c>
      <c r="W4" t="n">
        <v>95</v>
      </c>
      <c r="X4" t="n">
        <v>60</v>
      </c>
      <c r="Y4" t="n">
        <v>62</v>
      </c>
      <c r="Z4" t="n">
        <v>89</v>
      </c>
      <c r="AA4" t="n">
        <v>84</v>
      </c>
      <c r="AB4" t="n">
        <v>82</v>
      </c>
      <c r="AC4" t="n">
        <v>84</v>
      </c>
      <c r="AD4" t="n">
        <v>86</v>
      </c>
      <c r="AE4" t="n">
        <v>9199</v>
      </c>
      <c r="AF4" t="n">
        <v>2005310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Maurice Marko</t>
        </is>
      </c>
      <c r="B5" t="inlineStr">
        <is>
          <t>Pluskota</t>
        </is>
      </c>
      <c r="C5" t="inlineStr">
        <is>
          <t>C</t>
        </is>
      </c>
      <c r="D5" t="inlineStr">
        <is>
          <t>N/A</t>
        </is>
      </c>
      <c r="E5" t="n">
        <v>23</v>
      </c>
      <c r="F5" t="n">
        <v>1992</v>
      </c>
      <c r="G5" t="n">
        <v>5</v>
      </c>
      <c r="H5" t="n">
        <v>30</v>
      </c>
      <c r="J5" t="n">
        <v>2.09</v>
      </c>
      <c r="K5" t="n">
        <v>113</v>
      </c>
      <c r="L5" t="n">
        <v>94</v>
      </c>
      <c r="M5" t="n">
        <v>74</v>
      </c>
      <c r="N5" t="n">
        <v>62</v>
      </c>
      <c r="O5" t="n">
        <v>69</v>
      </c>
      <c r="P5" t="n">
        <v>85</v>
      </c>
      <c r="Q5" t="n">
        <v>88</v>
      </c>
      <c r="R5" t="n">
        <v>59</v>
      </c>
      <c r="S5" t="n">
        <v>65</v>
      </c>
      <c r="T5" t="n">
        <v>86</v>
      </c>
      <c r="U5" t="n">
        <v>96</v>
      </c>
      <c r="V5" t="n">
        <v>92</v>
      </c>
      <c r="W5" t="n">
        <v>65</v>
      </c>
      <c r="X5" t="n">
        <v>96</v>
      </c>
      <c r="Y5" t="n">
        <v>98</v>
      </c>
      <c r="Z5" t="n">
        <v>56</v>
      </c>
      <c r="AA5" t="n">
        <v>86</v>
      </c>
      <c r="AB5" t="n">
        <v>94</v>
      </c>
      <c r="AC5" t="n">
        <v>77</v>
      </c>
      <c r="AD5" t="n">
        <v>81</v>
      </c>
      <c r="AE5" t="n">
        <v>5106</v>
      </c>
      <c r="AF5" t="n">
        <v>2001322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Robert</t>
        </is>
      </c>
      <c r="B6" t="inlineStr">
        <is>
          <t>Jones</t>
        </is>
      </c>
      <c r="C6" t="inlineStr">
        <is>
          <t>C</t>
        </is>
      </c>
      <c r="D6" t="inlineStr">
        <is>
          <t>N/A</t>
        </is>
      </c>
      <c r="E6" t="n">
        <v>21</v>
      </c>
      <c r="F6" t="n">
        <v>2001</v>
      </c>
      <c r="G6" t="n">
        <v>7</v>
      </c>
      <c r="H6" t="n">
        <v>3</v>
      </c>
      <c r="J6" t="n">
        <v>2.08</v>
      </c>
      <c r="K6" t="n">
        <v>114</v>
      </c>
      <c r="L6" t="n">
        <v>94</v>
      </c>
      <c r="M6" t="n">
        <v>74</v>
      </c>
      <c r="N6" t="n">
        <v>62</v>
      </c>
      <c r="O6" t="n">
        <v>60</v>
      </c>
      <c r="P6" t="n">
        <v>85</v>
      </c>
      <c r="Q6" t="n">
        <v>88</v>
      </c>
      <c r="R6" t="n">
        <v>60</v>
      </c>
      <c r="S6" t="n">
        <v>63</v>
      </c>
      <c r="T6" t="n">
        <v>86</v>
      </c>
      <c r="U6" t="n">
        <v>96</v>
      </c>
      <c r="V6" t="n">
        <v>92</v>
      </c>
      <c r="W6" t="n">
        <v>76</v>
      </c>
      <c r="X6" t="n">
        <v>93</v>
      </c>
      <c r="Y6" t="n">
        <v>73</v>
      </c>
      <c r="Z6" t="n">
        <v>59</v>
      </c>
      <c r="AA6" t="n">
        <v>89</v>
      </c>
      <c r="AB6" t="n">
        <v>91</v>
      </c>
      <c r="AC6" t="n">
        <v>75</v>
      </c>
      <c r="AD6" t="n">
        <v>77</v>
      </c>
      <c r="AE6" t="n">
        <v>9098</v>
      </c>
      <c r="AF6" t="n">
        <v>2004189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Kilian</t>
        </is>
      </c>
      <c r="B7" t="inlineStr">
        <is>
          <t>Binapfl</t>
        </is>
      </c>
      <c r="C7" t="inlineStr">
        <is>
          <t>SF</t>
        </is>
      </c>
      <c r="D7" t="inlineStr">
        <is>
          <t>N/A</t>
        </is>
      </c>
      <c r="E7" t="n">
        <v>12</v>
      </c>
      <c r="F7" t="n">
        <v>2000</v>
      </c>
      <c r="G7" t="n">
        <v>1</v>
      </c>
      <c r="H7" t="n">
        <v>1</v>
      </c>
      <c r="J7" t="n">
        <v>1.98</v>
      </c>
      <c r="K7" t="n">
        <v>96</v>
      </c>
      <c r="L7" t="n">
        <v>87</v>
      </c>
      <c r="M7" t="n">
        <v>84</v>
      </c>
      <c r="N7" t="n">
        <v>67</v>
      </c>
      <c r="O7" t="n">
        <v>69</v>
      </c>
      <c r="P7" t="n">
        <v>91</v>
      </c>
      <c r="Q7" t="n">
        <v>77</v>
      </c>
      <c r="R7" t="n">
        <v>79</v>
      </c>
      <c r="S7" t="n">
        <v>73</v>
      </c>
      <c r="T7" t="n">
        <v>66</v>
      </c>
      <c r="U7" t="n">
        <v>76</v>
      </c>
      <c r="V7" t="n">
        <v>69</v>
      </c>
      <c r="W7" t="n">
        <v>76</v>
      </c>
      <c r="X7" t="n">
        <v>71</v>
      </c>
      <c r="Y7" t="n">
        <v>69</v>
      </c>
      <c r="Z7" t="n">
        <v>84</v>
      </c>
      <c r="AA7" t="n">
        <v>85</v>
      </c>
      <c r="AB7" t="n">
        <v>81</v>
      </c>
      <c r="AC7" t="n">
        <v>79</v>
      </c>
      <c r="AD7" t="n">
        <v>81</v>
      </c>
      <c r="AE7" t="n">
        <v>5116</v>
      </c>
      <c r="AF7" t="n">
        <v>2001526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Theo</t>
        </is>
      </c>
      <c r="B8" t="inlineStr">
        <is>
          <t>Seng</t>
        </is>
      </c>
      <c r="C8" t="inlineStr">
        <is>
          <t>PF</t>
        </is>
      </c>
      <c r="D8" t="inlineStr">
        <is>
          <t>N/A</t>
        </is>
      </c>
      <c r="E8" t="n">
        <v>33</v>
      </c>
      <c r="F8" t="n">
        <v>2002</v>
      </c>
      <c r="G8" t="n">
        <v>8</v>
      </c>
      <c r="H8" t="n">
        <v>12</v>
      </c>
      <c r="J8" t="n">
        <v>2.06</v>
      </c>
      <c r="K8" t="n">
        <v>104</v>
      </c>
      <c r="L8" t="n">
        <v>84</v>
      </c>
      <c r="M8" t="n">
        <v>76</v>
      </c>
      <c r="N8" t="n">
        <v>72</v>
      </c>
      <c r="O8" t="n">
        <v>74</v>
      </c>
      <c r="P8" t="n">
        <v>81</v>
      </c>
      <c r="Q8" t="n">
        <v>81</v>
      </c>
      <c r="R8" t="n">
        <v>67</v>
      </c>
      <c r="S8" t="n">
        <v>69</v>
      </c>
      <c r="T8" t="n">
        <v>80</v>
      </c>
      <c r="U8" t="n">
        <v>87</v>
      </c>
      <c r="V8" t="n">
        <v>82</v>
      </c>
      <c r="W8" t="n">
        <v>76</v>
      </c>
      <c r="X8" t="n">
        <v>87</v>
      </c>
      <c r="Y8" t="n">
        <v>93</v>
      </c>
      <c r="Z8" t="n">
        <v>71</v>
      </c>
      <c r="AA8" t="n">
        <v>86</v>
      </c>
      <c r="AB8" t="n">
        <v>86</v>
      </c>
      <c r="AC8" t="n">
        <v>78</v>
      </c>
      <c r="AD8" t="n">
        <v>76</v>
      </c>
      <c r="AE8" t="n">
        <v>9080</v>
      </c>
      <c r="AF8" t="n">
        <v>2004017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Martel</t>
        </is>
      </c>
      <c r="B9" t="inlineStr">
        <is>
          <t>Williams</t>
        </is>
      </c>
      <c r="C9" t="inlineStr">
        <is>
          <t>SG</t>
        </is>
      </c>
      <c r="D9" t="inlineStr">
        <is>
          <t>N/A</t>
        </is>
      </c>
      <c r="E9" t="n">
        <v>3</v>
      </c>
      <c r="F9" t="n">
        <v>2001</v>
      </c>
      <c r="G9" t="n">
        <v>11</v>
      </c>
      <c r="H9" t="n">
        <v>7</v>
      </c>
      <c r="J9" t="n">
        <v>1.91</v>
      </c>
      <c r="K9" t="n">
        <v>95</v>
      </c>
      <c r="L9" t="n">
        <v>83</v>
      </c>
      <c r="M9" t="n">
        <v>86</v>
      </c>
      <c r="N9" t="n">
        <v>88</v>
      </c>
      <c r="O9" t="n">
        <v>86</v>
      </c>
      <c r="P9" t="n">
        <v>90</v>
      </c>
      <c r="Q9" t="n">
        <v>68</v>
      </c>
      <c r="R9" t="n">
        <v>86</v>
      </c>
      <c r="S9" t="n">
        <v>76</v>
      </c>
      <c r="T9" t="n">
        <v>62</v>
      </c>
      <c r="U9" t="n">
        <v>62</v>
      </c>
      <c r="V9" t="n">
        <v>60</v>
      </c>
      <c r="W9" t="n">
        <v>81</v>
      </c>
      <c r="X9" t="n">
        <v>62</v>
      </c>
      <c r="Y9" t="n">
        <v>64</v>
      </c>
      <c r="Z9" t="n">
        <v>91</v>
      </c>
      <c r="AA9" t="n">
        <v>86</v>
      </c>
      <c r="AB9" t="n">
        <v>83</v>
      </c>
      <c r="AC9" t="n">
        <v>78</v>
      </c>
      <c r="AD9" t="n">
        <v>80</v>
      </c>
      <c r="AE9" t="n">
        <v>9079</v>
      </c>
      <c r="AF9" t="n">
        <v>2004016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Wesley Chima</t>
        </is>
      </c>
      <c r="B10" t="inlineStr">
        <is>
          <t>Oba</t>
        </is>
      </c>
      <c r="C10" t="inlineStr">
        <is>
          <t>PF</t>
        </is>
      </c>
      <c r="D10" t="inlineStr">
        <is>
          <t>N/A</t>
        </is>
      </c>
      <c r="E10" t="n">
        <v>7</v>
      </c>
      <c r="F10" t="n">
        <v>1999</v>
      </c>
      <c r="G10" t="n">
        <v>9</v>
      </c>
      <c r="H10" t="n">
        <v>30</v>
      </c>
      <c r="J10" t="n">
        <v>2.03</v>
      </c>
      <c r="K10" t="n">
        <v>99</v>
      </c>
      <c r="L10" t="n">
        <v>93</v>
      </c>
      <c r="M10" t="n">
        <v>75</v>
      </c>
      <c r="N10" t="n">
        <v>78</v>
      </c>
      <c r="O10" t="n">
        <v>69</v>
      </c>
      <c r="P10" t="n">
        <v>90</v>
      </c>
      <c r="Q10" t="n">
        <v>80</v>
      </c>
      <c r="R10" t="n">
        <v>66</v>
      </c>
      <c r="S10" t="n">
        <v>68</v>
      </c>
      <c r="T10" t="n">
        <v>82</v>
      </c>
      <c r="U10" t="n">
        <v>84</v>
      </c>
      <c r="V10" t="n">
        <v>78</v>
      </c>
      <c r="W10" t="n">
        <v>68</v>
      </c>
      <c r="X10" t="n">
        <v>92</v>
      </c>
      <c r="Y10" t="n">
        <v>69</v>
      </c>
      <c r="Z10" t="n">
        <v>70</v>
      </c>
      <c r="AA10" t="n">
        <v>85</v>
      </c>
      <c r="AB10" t="n">
        <v>91</v>
      </c>
      <c r="AC10" t="n">
        <v>74</v>
      </c>
      <c r="AD10" t="n">
        <v>75</v>
      </c>
      <c r="AE10" t="n">
        <v>5133</v>
      </c>
      <c r="AF10" t="n">
        <v>2001572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Jason</t>
        </is>
      </c>
      <c r="B11" t="inlineStr">
        <is>
          <t>George</t>
        </is>
      </c>
      <c r="C11" t="inlineStr">
        <is>
          <t>PF</t>
        </is>
      </c>
      <c r="D11" t="inlineStr">
        <is>
          <t>N/A</t>
        </is>
      </c>
      <c r="E11" t="n">
        <v>11</v>
      </c>
      <c r="F11" t="n">
        <v>2001</v>
      </c>
      <c r="G11" t="n">
        <v>5</v>
      </c>
      <c r="H11" t="n">
        <v>21</v>
      </c>
      <c r="J11" t="n">
        <v>2.03</v>
      </c>
      <c r="K11" t="n">
        <v>100</v>
      </c>
      <c r="L11" t="n">
        <v>83</v>
      </c>
      <c r="M11" t="n">
        <v>75</v>
      </c>
      <c r="N11" t="n">
        <v>71</v>
      </c>
      <c r="O11" t="n">
        <v>60</v>
      </c>
      <c r="P11" t="n">
        <v>80</v>
      </c>
      <c r="Q11" t="n">
        <v>80</v>
      </c>
      <c r="R11" t="n">
        <v>66</v>
      </c>
      <c r="S11" t="n">
        <v>68</v>
      </c>
      <c r="T11" t="n">
        <v>79</v>
      </c>
      <c r="U11" t="n">
        <v>84</v>
      </c>
      <c r="V11" t="n">
        <v>78</v>
      </c>
      <c r="W11" t="n">
        <v>68</v>
      </c>
      <c r="X11" t="n">
        <v>86</v>
      </c>
      <c r="Y11" t="n">
        <v>69</v>
      </c>
      <c r="Z11" t="n">
        <v>70</v>
      </c>
      <c r="AA11" t="n">
        <v>85</v>
      </c>
      <c r="AB11" t="n">
        <v>85</v>
      </c>
      <c r="AC11" t="n">
        <v>74</v>
      </c>
      <c r="AD11" t="n">
        <v>75</v>
      </c>
      <c r="AE11" t="n">
        <v>9421</v>
      </c>
      <c r="AF11" t="n">
        <v>2003099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Noah</t>
        </is>
      </c>
      <c r="B12" t="inlineStr">
        <is>
          <t>Koch</t>
        </is>
      </c>
      <c r="C12" t="inlineStr">
        <is>
          <t>PG</t>
        </is>
      </c>
      <c r="D12" t="inlineStr">
        <is>
          <t>N/A</t>
        </is>
      </c>
      <c r="E12" t="n">
        <v>1</v>
      </c>
      <c r="F12" t="n">
        <v>2007</v>
      </c>
      <c r="G12" t="n">
        <v>3</v>
      </c>
      <c r="H12" t="n">
        <v>22</v>
      </c>
      <c r="J12" t="n">
        <v>1.87</v>
      </c>
      <c r="K12" t="n">
        <v>90</v>
      </c>
      <c r="L12" t="n">
        <v>77</v>
      </c>
      <c r="M12" t="n">
        <v>82</v>
      </c>
      <c r="N12" t="n">
        <v>84</v>
      </c>
      <c r="O12" t="n">
        <v>69</v>
      </c>
      <c r="P12" t="n">
        <v>88</v>
      </c>
      <c r="Q12" t="n">
        <v>64</v>
      </c>
      <c r="R12" t="n">
        <v>93</v>
      </c>
      <c r="S12" t="n">
        <v>87</v>
      </c>
      <c r="T12" t="n">
        <v>57</v>
      </c>
      <c r="U12" t="n">
        <v>53</v>
      </c>
      <c r="V12" t="n">
        <v>53</v>
      </c>
      <c r="W12" t="n">
        <v>89</v>
      </c>
      <c r="X12" t="n">
        <v>57</v>
      </c>
      <c r="Y12" t="n">
        <v>57</v>
      </c>
      <c r="Z12" t="n">
        <v>95</v>
      </c>
      <c r="AA12" t="n">
        <v>84</v>
      </c>
      <c r="AB12" t="n">
        <v>79</v>
      </c>
      <c r="AC12" t="n">
        <v>72</v>
      </c>
      <c r="AD12" t="n">
        <v>72</v>
      </c>
      <c r="AE12" t="n">
        <v>9012</v>
      </c>
      <c r="AF12" t="n">
        <v>1400015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David</t>
        </is>
      </c>
      <c r="B13" t="inlineStr">
        <is>
          <t>Scheu</t>
        </is>
      </c>
      <c r="C13" t="inlineStr">
        <is>
          <t>PG</t>
        </is>
      </c>
      <c r="D13" t="inlineStr">
        <is>
          <t>N/A</t>
        </is>
      </c>
      <c r="E13" t="n">
        <v>0</v>
      </c>
      <c r="F13" t="n">
        <v>2003</v>
      </c>
      <c r="G13" t="n">
        <v>10</v>
      </c>
      <c r="H13" t="n">
        <v>29</v>
      </c>
      <c r="J13" t="n">
        <v>1.88</v>
      </c>
      <c r="K13" t="n">
        <v>89</v>
      </c>
      <c r="L13" t="n">
        <v>73</v>
      </c>
      <c r="M13" t="n">
        <v>78</v>
      </c>
      <c r="N13" t="n">
        <v>73</v>
      </c>
      <c r="O13" t="n">
        <v>83</v>
      </c>
      <c r="P13" t="n">
        <v>84</v>
      </c>
      <c r="Q13" t="n">
        <v>58</v>
      </c>
      <c r="R13" t="n">
        <v>89</v>
      </c>
      <c r="S13" t="n">
        <v>85</v>
      </c>
      <c r="T13" t="n">
        <v>53</v>
      </c>
      <c r="U13" t="n">
        <v>50</v>
      </c>
      <c r="V13" t="n">
        <v>50</v>
      </c>
      <c r="W13" t="n">
        <v>85</v>
      </c>
      <c r="X13" t="n">
        <v>53</v>
      </c>
      <c r="Y13" t="n">
        <v>53</v>
      </c>
      <c r="Z13" t="n">
        <v>87</v>
      </c>
      <c r="AA13" t="n">
        <v>80</v>
      </c>
      <c r="AB13" t="n">
        <v>75</v>
      </c>
      <c r="AC13" t="n">
        <v>72</v>
      </c>
      <c r="AD13" t="n">
        <v>74</v>
      </c>
      <c r="AE13" t="n">
        <v>9096</v>
      </c>
      <c r="AF13" t="n">
        <v>2004187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  <row r="14">
      <c r="A14" t="inlineStr">
        <is>
          <t>Luka</t>
        </is>
      </c>
      <c r="B14" t="inlineStr">
        <is>
          <t>Galic</t>
        </is>
      </c>
      <c r="C14" t="inlineStr">
        <is>
          <t>PF</t>
        </is>
      </c>
      <c r="D14" t="inlineStr">
        <is>
          <t>N/A</t>
        </is>
      </c>
      <c r="E14" t="n">
        <v>77</v>
      </c>
      <c r="F14" t="n">
        <v>2005</v>
      </c>
      <c r="G14" t="n">
        <v>10</v>
      </c>
      <c r="H14" t="n">
        <v>18</v>
      </c>
      <c r="J14" t="n">
        <v>2.13</v>
      </c>
      <c r="K14" t="n">
        <v>99</v>
      </c>
      <c r="L14" t="n">
        <v>77</v>
      </c>
      <c r="M14" t="n">
        <v>69</v>
      </c>
      <c r="N14" t="n">
        <v>65</v>
      </c>
      <c r="O14" t="n">
        <v>67</v>
      </c>
      <c r="P14" t="n">
        <v>74</v>
      </c>
      <c r="Q14" t="n">
        <v>78</v>
      </c>
      <c r="R14" t="n">
        <v>60</v>
      </c>
      <c r="S14" t="n">
        <v>60</v>
      </c>
      <c r="T14" t="n">
        <v>73</v>
      </c>
      <c r="U14" t="n">
        <v>82</v>
      </c>
      <c r="V14" t="n">
        <v>80</v>
      </c>
      <c r="W14" t="n">
        <v>62</v>
      </c>
      <c r="X14" t="n">
        <v>85</v>
      </c>
      <c r="Y14" t="n">
        <v>83</v>
      </c>
      <c r="Z14" t="n">
        <v>64</v>
      </c>
      <c r="AA14" t="n">
        <v>79</v>
      </c>
      <c r="AB14" t="n">
        <v>79</v>
      </c>
      <c r="AC14" t="n">
        <v>63</v>
      </c>
      <c r="AD14" t="n">
        <v>63</v>
      </c>
      <c r="AE14" t="n">
        <v>9097</v>
      </c>
      <c r="AF14" t="n">
        <v>2004188</v>
      </c>
      <c r="AG14">
        <f>IF(ISNA(MATCH($C14,'_Overall_Model'!$A$2:$A$6,0)),"",ROUND(SUMPRODUCT(L14:AD14,INDEX('_Overall_Model'!$B$2:$T$6,MATCH($C14,'_Overall_Model'!$A$2:$A$6,0),0))+INDEX('_Overall_Model'!$U$2:$U$6,MATCH($C14,'_Overall_Model'!$A$2:$A$6,0))+INDEX('_Overall_Model'!$V$2:$V$6,MATCH($C14,'_Overall_Model'!$A$2:$A$6,0))*IF(Q14&gt;=75,99,IF(Q14&gt;=60,50,0))+INDEX('_Overall_Model'!$W$2:$W$6,MATCH($C14,'_Overall_Model'!$A$2:$A$6,0))*J14+INDEX('_Overall_Model'!$X$2:$X$6,MATCH($C14,'_Overall_Model'!$A$2:$A$6,0))*K14,0))</f>
        <v/>
      </c>
    </row>
    <row r="15">
      <c r="A15" t="inlineStr">
        <is>
          <t>Julijo</t>
        </is>
      </c>
      <c r="B15" t="inlineStr">
        <is>
          <t>Kendeš</t>
        </is>
      </c>
      <c r="C15" t="inlineStr">
        <is>
          <t>SG</t>
        </is>
      </c>
      <c r="D15" t="inlineStr">
        <is>
          <t>N/A</t>
        </is>
      </c>
      <c r="E15" t="n">
        <v>16</v>
      </c>
      <c r="F15" t="n">
        <v>2006</v>
      </c>
      <c r="G15" t="n">
        <v>12</v>
      </c>
      <c r="H15" t="n">
        <v>3</v>
      </c>
      <c r="J15" t="n">
        <v>1.96</v>
      </c>
      <c r="K15" t="n">
        <v>87</v>
      </c>
      <c r="L15" t="n">
        <v>74</v>
      </c>
      <c r="M15" t="n">
        <v>77</v>
      </c>
      <c r="N15" t="n">
        <v>67</v>
      </c>
      <c r="O15" t="n">
        <v>60</v>
      </c>
      <c r="P15" t="n">
        <v>78</v>
      </c>
      <c r="Q15" t="n">
        <v>64</v>
      </c>
      <c r="R15" t="n">
        <v>78</v>
      </c>
      <c r="S15" t="n">
        <v>67</v>
      </c>
      <c r="T15" t="n">
        <v>54</v>
      </c>
      <c r="U15" t="n">
        <v>57</v>
      </c>
      <c r="V15" t="n">
        <v>57</v>
      </c>
      <c r="W15" t="n">
        <v>74</v>
      </c>
      <c r="X15" t="n">
        <v>52</v>
      </c>
      <c r="Y15" t="n">
        <v>57</v>
      </c>
      <c r="Z15" t="n">
        <v>86</v>
      </c>
      <c r="AA15" t="n">
        <v>79</v>
      </c>
      <c r="AB15" t="n">
        <v>73</v>
      </c>
      <c r="AC15" t="n">
        <v>67</v>
      </c>
      <c r="AD15" t="n">
        <v>67</v>
      </c>
      <c r="AE15" t="n">
        <v>9141</v>
      </c>
      <c r="AF15" t="n">
        <v>2004451</v>
      </c>
      <c r="AG15">
        <f>IF(ISNA(MATCH($C15,'_Overall_Model'!$A$2:$A$6,0)),"",ROUND(SUMPRODUCT(L15:AD15,INDEX('_Overall_Model'!$B$2:$T$6,MATCH($C15,'_Overall_Model'!$A$2:$A$6,0),0))+INDEX('_Overall_Model'!$U$2:$U$6,MATCH($C15,'_Overall_Model'!$A$2:$A$6,0))+INDEX('_Overall_Model'!$V$2:$V$6,MATCH($C15,'_Overall_Model'!$A$2:$A$6,0))*IF(Q15&gt;=75,99,IF(Q15&gt;=60,50,0))+INDEX('_Overall_Model'!$W$2:$W$6,MATCH($C15,'_Overall_Model'!$A$2:$A$6,0))*J15+INDEX('_Overall_Model'!$X$2:$X$6,MATCH($C15,'_Overall_Model'!$A$2:$A$6,0))*K15,0)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G14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Cedric Cezell</t>
        </is>
      </c>
      <c r="B2" t="inlineStr">
        <is>
          <t>Russell Jr</t>
        </is>
      </c>
      <c r="C2" t="inlineStr">
        <is>
          <t>PG</t>
        </is>
      </c>
      <c r="D2" t="inlineStr">
        <is>
          <t>N/A</t>
        </is>
      </c>
      <c r="E2" t="n">
        <v>0</v>
      </c>
      <c r="F2" t="n">
        <v>1999</v>
      </c>
      <c r="G2" t="n">
        <v>3</v>
      </c>
      <c r="H2" t="n">
        <v>6</v>
      </c>
      <c r="J2" t="n">
        <v>1.88</v>
      </c>
      <c r="K2" t="n">
        <v>86</v>
      </c>
      <c r="L2" t="n">
        <v>85</v>
      </c>
      <c r="M2" t="n">
        <v>90</v>
      </c>
      <c r="N2" t="n">
        <v>97</v>
      </c>
      <c r="O2" t="n">
        <v>96</v>
      </c>
      <c r="P2" t="n">
        <v>96</v>
      </c>
      <c r="Q2" t="n">
        <v>68</v>
      </c>
      <c r="R2" t="n">
        <v>97</v>
      </c>
      <c r="S2" t="n">
        <v>93</v>
      </c>
      <c r="T2" t="n">
        <v>64</v>
      </c>
      <c r="U2" t="n">
        <v>57</v>
      </c>
      <c r="V2" t="n">
        <v>57</v>
      </c>
      <c r="W2" t="n">
        <v>93</v>
      </c>
      <c r="X2" t="n">
        <v>61</v>
      </c>
      <c r="Y2" t="n">
        <v>63</v>
      </c>
      <c r="Z2" t="n">
        <v>95</v>
      </c>
      <c r="AA2" t="n">
        <v>88</v>
      </c>
      <c r="AB2" t="n">
        <v>83</v>
      </c>
      <c r="AC2" t="n">
        <v>81</v>
      </c>
      <c r="AD2" t="n">
        <v>85</v>
      </c>
      <c r="AE2" t="n">
        <v>9100</v>
      </c>
      <c r="AF2" t="n">
        <v>2002277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Antonio Deshon</t>
        </is>
      </c>
      <c r="B3" t="inlineStr">
        <is>
          <t>Williams</t>
        </is>
      </c>
      <c r="C3" t="inlineStr">
        <is>
          <t>PG</t>
        </is>
      </c>
      <c r="D3" t="inlineStr">
        <is>
          <t>N/A</t>
        </is>
      </c>
      <c r="E3" t="n">
        <v>1</v>
      </c>
      <c r="F3" t="n">
        <v>1997</v>
      </c>
      <c r="G3" t="n">
        <v>1</v>
      </c>
      <c r="H3" t="n">
        <v>12</v>
      </c>
      <c r="J3" t="n">
        <v>1.83</v>
      </c>
      <c r="K3" t="n">
        <v>84</v>
      </c>
      <c r="L3" t="n">
        <v>88</v>
      </c>
      <c r="M3" t="n">
        <v>90</v>
      </c>
      <c r="N3" t="n">
        <v>67</v>
      </c>
      <c r="O3" t="n">
        <v>69</v>
      </c>
      <c r="P3" t="n">
        <v>99</v>
      </c>
      <c r="Q3" t="n">
        <v>67</v>
      </c>
      <c r="R3" t="n">
        <v>99</v>
      </c>
      <c r="S3" t="n">
        <v>96</v>
      </c>
      <c r="T3" t="n">
        <v>65</v>
      </c>
      <c r="U3" t="n">
        <v>55</v>
      </c>
      <c r="V3" t="n">
        <v>55</v>
      </c>
      <c r="W3" t="n">
        <v>99</v>
      </c>
      <c r="X3" t="n">
        <v>61</v>
      </c>
      <c r="Y3" t="n">
        <v>63</v>
      </c>
      <c r="Z3" t="n">
        <v>99</v>
      </c>
      <c r="AA3" t="n">
        <v>88</v>
      </c>
      <c r="AB3" t="n">
        <v>83</v>
      </c>
      <c r="AC3" t="n">
        <v>83</v>
      </c>
      <c r="AD3" t="n">
        <v>84</v>
      </c>
      <c r="AE3" t="n">
        <v>9121</v>
      </c>
      <c r="AF3" t="n">
        <v>2004250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Kristopher</t>
        </is>
      </c>
      <c r="B4" t="inlineStr">
        <is>
          <t>Monroe</t>
        </is>
      </c>
      <c r="C4" t="inlineStr">
        <is>
          <t>PF</t>
        </is>
      </c>
      <c r="D4" t="inlineStr">
        <is>
          <t>N/A</t>
        </is>
      </c>
      <c r="E4" t="n">
        <v>2</v>
      </c>
      <c r="F4" t="n">
        <v>1999</v>
      </c>
      <c r="G4" t="n">
        <v>8</v>
      </c>
      <c r="H4" t="n">
        <v>24</v>
      </c>
      <c r="J4" t="n">
        <v>2.03</v>
      </c>
      <c r="K4" t="n">
        <v>107</v>
      </c>
      <c r="L4" t="n">
        <v>85</v>
      </c>
      <c r="M4" t="n">
        <v>77</v>
      </c>
      <c r="N4" t="n">
        <v>60</v>
      </c>
      <c r="O4" t="n">
        <v>85</v>
      </c>
      <c r="P4" t="n">
        <v>82</v>
      </c>
      <c r="Q4" t="n">
        <v>82</v>
      </c>
      <c r="R4" t="n">
        <v>68</v>
      </c>
      <c r="S4" t="n">
        <v>70</v>
      </c>
      <c r="T4" t="n">
        <v>81</v>
      </c>
      <c r="U4" t="n">
        <v>89</v>
      </c>
      <c r="V4" t="n">
        <v>80</v>
      </c>
      <c r="W4" t="n">
        <v>70</v>
      </c>
      <c r="X4" t="n">
        <v>91</v>
      </c>
      <c r="Y4" t="n">
        <v>70</v>
      </c>
      <c r="Z4" t="n">
        <v>69</v>
      </c>
      <c r="AA4" t="n">
        <v>87</v>
      </c>
      <c r="AB4" t="n">
        <v>90</v>
      </c>
      <c r="AC4" t="n">
        <v>76</v>
      </c>
      <c r="AD4" t="n">
        <v>77</v>
      </c>
      <c r="AE4" t="n">
        <v>9122</v>
      </c>
      <c r="AF4" t="n">
        <v>2004252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Nat</t>
        </is>
      </c>
      <c r="B5" t="inlineStr">
        <is>
          <t>Diallo</t>
        </is>
      </c>
      <c r="C5" t="inlineStr">
        <is>
          <t>C</t>
        </is>
      </c>
      <c r="D5" t="inlineStr">
        <is>
          <t>N/A</t>
        </is>
      </c>
      <c r="E5" t="n">
        <v>8</v>
      </c>
      <c r="F5" t="n">
        <v>2000</v>
      </c>
      <c r="G5" t="n">
        <v>2</v>
      </c>
      <c r="H5" t="n">
        <v>3</v>
      </c>
      <c r="J5" t="n">
        <v>2.08</v>
      </c>
      <c r="K5" t="n">
        <v>106</v>
      </c>
      <c r="L5" t="n">
        <v>90</v>
      </c>
      <c r="M5" t="n">
        <v>70</v>
      </c>
      <c r="N5" t="n">
        <v>60</v>
      </c>
      <c r="O5" t="n">
        <v>69</v>
      </c>
      <c r="P5" t="n">
        <v>81</v>
      </c>
      <c r="Q5" t="n">
        <v>85</v>
      </c>
      <c r="R5" t="n">
        <v>57</v>
      </c>
      <c r="S5" t="n">
        <v>61</v>
      </c>
      <c r="T5" t="n">
        <v>83</v>
      </c>
      <c r="U5" t="n">
        <v>94</v>
      </c>
      <c r="V5" t="n">
        <v>90</v>
      </c>
      <c r="W5" t="n">
        <v>63</v>
      </c>
      <c r="X5" t="n">
        <v>91</v>
      </c>
      <c r="Y5" t="n">
        <v>73</v>
      </c>
      <c r="Z5" t="n">
        <v>57</v>
      </c>
      <c r="AA5" t="n">
        <v>87</v>
      </c>
      <c r="AB5" t="n">
        <v>89</v>
      </c>
      <c r="AC5" t="n">
        <v>71</v>
      </c>
      <c r="AD5" t="n">
        <v>73</v>
      </c>
      <c r="AE5" t="n">
        <v>9120</v>
      </c>
      <c r="AF5" t="n">
        <v>2004249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Haris</t>
        </is>
      </c>
      <c r="B6" t="inlineStr">
        <is>
          <t>Hujic</t>
        </is>
      </c>
      <c r="C6" t="inlineStr">
        <is>
          <t>SG</t>
        </is>
      </c>
      <c r="D6" t="inlineStr">
        <is>
          <t>N/A</t>
        </is>
      </c>
      <c r="E6" t="n">
        <v>10</v>
      </c>
      <c r="F6" t="n">
        <v>1997</v>
      </c>
      <c r="G6" t="n">
        <v>4</v>
      </c>
      <c r="H6" t="n">
        <v>30</v>
      </c>
      <c r="J6" t="n">
        <v>1.93</v>
      </c>
      <c r="K6" t="n">
        <v>90</v>
      </c>
      <c r="L6" t="n">
        <v>82</v>
      </c>
      <c r="M6" t="n">
        <v>85</v>
      </c>
      <c r="N6" t="n">
        <v>67</v>
      </c>
      <c r="O6" t="n">
        <v>90</v>
      </c>
      <c r="P6" t="n">
        <v>86</v>
      </c>
      <c r="Q6" t="n">
        <v>69</v>
      </c>
      <c r="R6" t="n">
        <v>84</v>
      </c>
      <c r="S6" t="n">
        <v>75</v>
      </c>
      <c r="T6" t="n">
        <v>61</v>
      </c>
      <c r="U6" t="n">
        <v>63</v>
      </c>
      <c r="V6" t="n">
        <v>63</v>
      </c>
      <c r="W6" t="n">
        <v>83</v>
      </c>
      <c r="X6" t="n">
        <v>58</v>
      </c>
      <c r="Y6" t="n">
        <v>63</v>
      </c>
      <c r="Z6" t="n">
        <v>88</v>
      </c>
      <c r="AA6" t="n">
        <v>85</v>
      </c>
      <c r="AB6" t="n">
        <v>79</v>
      </c>
      <c r="AC6" t="n">
        <v>78</v>
      </c>
      <c r="AD6" t="n">
        <v>80</v>
      </c>
      <c r="AE6" t="n">
        <v>5522</v>
      </c>
      <c r="AF6" t="n">
        <v>2001838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James</t>
        </is>
      </c>
      <c r="B7" t="inlineStr">
        <is>
          <t>Patterson III</t>
        </is>
      </c>
      <c r="C7" t="inlineStr">
        <is>
          <t>SF</t>
        </is>
      </c>
      <c r="D7" t="inlineStr">
        <is>
          <t>N/A</t>
        </is>
      </c>
      <c r="E7" t="n">
        <v>4</v>
      </c>
      <c r="F7" t="n">
        <v>2003</v>
      </c>
      <c r="G7" t="n">
        <v>2</v>
      </c>
      <c r="H7" t="n">
        <v>19</v>
      </c>
      <c r="J7" t="n">
        <v>2.01</v>
      </c>
      <c r="K7" t="n">
        <v>93</v>
      </c>
      <c r="L7" t="n">
        <v>81</v>
      </c>
      <c r="M7" t="n">
        <v>81</v>
      </c>
      <c r="N7" t="n">
        <v>60</v>
      </c>
      <c r="O7" t="n">
        <v>60</v>
      </c>
      <c r="P7" t="n">
        <v>85</v>
      </c>
      <c r="Q7" t="n">
        <v>75</v>
      </c>
      <c r="R7" t="n">
        <v>75</v>
      </c>
      <c r="S7" t="n">
        <v>72</v>
      </c>
      <c r="T7" t="n">
        <v>63</v>
      </c>
      <c r="U7" t="n">
        <v>73</v>
      </c>
      <c r="V7" t="n">
        <v>68</v>
      </c>
      <c r="W7" t="n">
        <v>75</v>
      </c>
      <c r="X7" t="n">
        <v>73</v>
      </c>
      <c r="Y7" t="n">
        <v>69</v>
      </c>
      <c r="Z7" t="n">
        <v>81</v>
      </c>
      <c r="AA7" t="n">
        <v>84</v>
      </c>
      <c r="AB7" t="n">
        <v>83</v>
      </c>
      <c r="AC7" t="n">
        <v>78</v>
      </c>
      <c r="AD7" t="n">
        <v>78</v>
      </c>
      <c r="AE7" t="n">
        <v>9123</v>
      </c>
      <c r="AF7" t="n">
        <v>2004254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Maximilian</t>
        </is>
      </c>
      <c r="B8" t="inlineStr">
        <is>
          <t>Begue</t>
        </is>
      </c>
      <c r="C8" t="inlineStr">
        <is>
          <t>PG</t>
        </is>
      </c>
      <c r="D8" t="inlineStr">
        <is>
          <t>N/A</t>
        </is>
      </c>
      <c r="E8" t="n">
        <v>9</v>
      </c>
      <c r="F8" t="n">
        <v>2001</v>
      </c>
      <c r="G8" t="n">
        <v>2</v>
      </c>
      <c r="H8" t="n">
        <v>26</v>
      </c>
      <c r="J8" t="n">
        <v>1.94</v>
      </c>
      <c r="K8" t="n">
        <v>92</v>
      </c>
      <c r="L8" t="n">
        <v>78</v>
      </c>
      <c r="M8" t="n">
        <v>83</v>
      </c>
      <c r="N8" t="n">
        <v>78</v>
      </c>
      <c r="O8" t="n">
        <v>69</v>
      </c>
      <c r="P8" t="n">
        <v>86</v>
      </c>
      <c r="Q8" t="n">
        <v>65</v>
      </c>
      <c r="R8" t="n">
        <v>92</v>
      </c>
      <c r="S8" t="n">
        <v>90</v>
      </c>
      <c r="T8" t="n">
        <v>58</v>
      </c>
      <c r="U8" t="n">
        <v>58</v>
      </c>
      <c r="V8" t="n">
        <v>58</v>
      </c>
      <c r="W8" t="n">
        <v>90</v>
      </c>
      <c r="X8" t="n">
        <v>58</v>
      </c>
      <c r="Y8" t="n">
        <v>60</v>
      </c>
      <c r="Z8" t="n">
        <v>90</v>
      </c>
      <c r="AA8" t="n">
        <v>85</v>
      </c>
      <c r="AB8" t="n">
        <v>80</v>
      </c>
      <c r="AC8" t="n">
        <v>78</v>
      </c>
      <c r="AD8" t="n">
        <v>79</v>
      </c>
      <c r="AE8" t="n">
        <v>5113</v>
      </c>
      <c r="AF8" t="n">
        <v>2001447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Björn</t>
        </is>
      </c>
      <c r="B9" t="inlineStr">
        <is>
          <t>Rohwer</t>
        </is>
      </c>
      <c r="C9" t="inlineStr">
        <is>
          <t>C</t>
        </is>
      </c>
      <c r="D9" t="inlineStr">
        <is>
          <t>N/A</t>
        </is>
      </c>
      <c r="E9" t="n">
        <v>15</v>
      </c>
      <c r="F9" t="n">
        <v>1995</v>
      </c>
      <c r="G9" t="n">
        <v>8</v>
      </c>
      <c r="H9" t="n">
        <v>22</v>
      </c>
      <c r="J9" t="n">
        <v>2.13</v>
      </c>
      <c r="K9" t="n">
        <v>115</v>
      </c>
      <c r="L9" t="n">
        <v>92</v>
      </c>
      <c r="M9" t="n">
        <v>72</v>
      </c>
      <c r="N9" t="n">
        <v>80</v>
      </c>
      <c r="O9" t="n">
        <v>75</v>
      </c>
      <c r="P9" t="n">
        <v>83</v>
      </c>
      <c r="Q9" t="n">
        <v>88</v>
      </c>
      <c r="R9" t="n">
        <v>58</v>
      </c>
      <c r="S9" t="n">
        <v>63</v>
      </c>
      <c r="T9" t="n">
        <v>84</v>
      </c>
      <c r="U9" t="n">
        <v>99</v>
      </c>
      <c r="V9" t="n">
        <v>92</v>
      </c>
      <c r="W9" t="n">
        <v>63</v>
      </c>
      <c r="X9" t="n">
        <v>96</v>
      </c>
      <c r="Y9" t="n">
        <v>80</v>
      </c>
      <c r="Z9" t="n">
        <v>50</v>
      </c>
      <c r="AA9" t="n">
        <v>84</v>
      </c>
      <c r="AB9" t="n">
        <v>89</v>
      </c>
      <c r="AC9" t="n">
        <v>74</v>
      </c>
      <c r="AD9" t="n">
        <v>80</v>
      </c>
      <c r="AE9" t="n">
        <v>5046</v>
      </c>
      <c r="AF9" t="n">
        <v>57948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Jasper</t>
        </is>
      </c>
      <c r="B10" t="inlineStr">
        <is>
          <t>Günther</t>
        </is>
      </c>
      <c r="C10" t="inlineStr">
        <is>
          <t>PG</t>
        </is>
      </c>
      <c r="D10" t="inlineStr">
        <is>
          <t>N/A</t>
        </is>
      </c>
      <c r="E10" t="n">
        <v>6</v>
      </c>
      <c r="F10" t="n">
        <v>1999</v>
      </c>
      <c r="G10" t="n">
        <v>3</v>
      </c>
      <c r="H10" t="n">
        <v>31</v>
      </c>
      <c r="J10" t="n">
        <v>1.81</v>
      </c>
      <c r="K10" t="n">
        <v>75</v>
      </c>
      <c r="L10" t="n">
        <v>78</v>
      </c>
      <c r="M10" t="n">
        <v>83</v>
      </c>
      <c r="N10" t="n">
        <v>67</v>
      </c>
      <c r="O10" t="n">
        <v>69</v>
      </c>
      <c r="P10" t="n">
        <v>90</v>
      </c>
      <c r="Q10" t="n">
        <v>62</v>
      </c>
      <c r="R10" t="n">
        <v>95</v>
      </c>
      <c r="S10" t="n">
        <v>90</v>
      </c>
      <c r="T10" t="n">
        <v>58</v>
      </c>
      <c r="U10" t="n">
        <v>52</v>
      </c>
      <c r="V10" t="n">
        <v>52</v>
      </c>
      <c r="W10" t="n">
        <v>94</v>
      </c>
      <c r="X10" t="n">
        <v>58</v>
      </c>
      <c r="Y10" t="n">
        <v>58</v>
      </c>
      <c r="Z10" t="n">
        <v>96</v>
      </c>
      <c r="AA10" t="n">
        <v>85</v>
      </c>
      <c r="AB10" t="n">
        <v>80</v>
      </c>
      <c r="AC10" t="n">
        <v>77</v>
      </c>
      <c r="AD10" t="n">
        <v>79</v>
      </c>
      <c r="AE10" t="n">
        <v>5578</v>
      </c>
      <c r="AF10" t="n">
        <v>2002188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Karl</t>
        </is>
      </c>
      <c r="B11" t="inlineStr">
        <is>
          <t>Bühner</t>
        </is>
      </c>
      <c r="C11" t="inlineStr">
        <is>
          <t>PF</t>
        </is>
      </c>
      <c r="D11" t="inlineStr">
        <is>
          <t>N/A</t>
        </is>
      </c>
      <c r="E11" t="n">
        <v>11</v>
      </c>
      <c r="F11" t="n">
        <v>2005</v>
      </c>
      <c r="G11" t="n">
        <v>5</v>
      </c>
      <c r="H11" t="n">
        <v>23</v>
      </c>
      <c r="J11" t="n">
        <v>2.01</v>
      </c>
      <c r="K11" t="n">
        <v>103</v>
      </c>
      <c r="L11" t="n">
        <v>81</v>
      </c>
      <c r="M11" t="n">
        <v>73</v>
      </c>
      <c r="N11" t="n">
        <v>69</v>
      </c>
      <c r="O11" t="n">
        <v>60</v>
      </c>
      <c r="P11" t="n">
        <v>78</v>
      </c>
      <c r="Q11" t="n">
        <v>80</v>
      </c>
      <c r="R11" t="n">
        <v>64</v>
      </c>
      <c r="S11" t="n">
        <v>64</v>
      </c>
      <c r="T11" t="n">
        <v>77</v>
      </c>
      <c r="U11" t="n">
        <v>82</v>
      </c>
      <c r="V11" t="n">
        <v>76</v>
      </c>
      <c r="W11" t="n">
        <v>66</v>
      </c>
      <c r="X11" t="n">
        <v>87</v>
      </c>
      <c r="Y11" t="n">
        <v>69</v>
      </c>
      <c r="Z11" t="n">
        <v>72</v>
      </c>
      <c r="AA11" t="n">
        <v>83</v>
      </c>
      <c r="AB11" t="n">
        <v>86</v>
      </c>
      <c r="AC11" t="n">
        <v>68</v>
      </c>
      <c r="AD11" t="n">
        <v>67</v>
      </c>
      <c r="AE11" t="n">
        <v>9013</v>
      </c>
      <c r="AF11" t="n">
        <v>1400017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Konstantin Matthias</t>
        </is>
      </c>
      <c r="B12" t="inlineStr">
        <is>
          <t>Lehmann</t>
        </is>
      </c>
      <c r="C12" t="inlineStr">
        <is>
          <t>SG</t>
        </is>
      </c>
      <c r="D12" t="inlineStr">
        <is>
          <t>N/A</t>
        </is>
      </c>
      <c r="E12" t="n">
        <v>7</v>
      </c>
      <c r="F12" t="n">
        <v>2008</v>
      </c>
      <c r="G12" t="n">
        <v>6</v>
      </c>
      <c r="H12" t="n">
        <v>1</v>
      </c>
      <c r="J12" t="n">
        <v>1.97</v>
      </c>
      <c r="K12" t="n">
        <v>95</v>
      </c>
      <c r="L12" t="n">
        <v>75</v>
      </c>
      <c r="M12" t="n">
        <v>78</v>
      </c>
      <c r="N12" t="n">
        <v>87</v>
      </c>
      <c r="O12" t="n">
        <v>69</v>
      </c>
      <c r="P12" t="n">
        <v>79</v>
      </c>
      <c r="Q12" t="n">
        <v>65</v>
      </c>
      <c r="R12" t="n">
        <v>83</v>
      </c>
      <c r="S12" t="n">
        <v>69</v>
      </c>
      <c r="T12" t="n">
        <v>55</v>
      </c>
      <c r="U12" t="n">
        <v>60</v>
      </c>
      <c r="V12" t="n">
        <v>58</v>
      </c>
      <c r="W12" t="n">
        <v>75</v>
      </c>
      <c r="X12" t="n">
        <v>53</v>
      </c>
      <c r="Y12" t="n">
        <v>58</v>
      </c>
      <c r="Z12" t="n">
        <v>87</v>
      </c>
      <c r="AA12" t="n">
        <v>80</v>
      </c>
      <c r="AB12" t="n">
        <v>74</v>
      </c>
      <c r="AC12" t="n">
        <v>68</v>
      </c>
      <c r="AD12" t="n">
        <v>68</v>
      </c>
      <c r="AE12" t="n">
        <v>5047</v>
      </c>
      <c r="AF12" t="n">
        <v>58073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Marko</t>
        </is>
      </c>
      <c r="B13" t="inlineStr">
        <is>
          <t>Cuvalo</t>
        </is>
      </c>
      <c r="C13" t="inlineStr">
        <is>
          <t>C</t>
        </is>
      </c>
      <c r="D13" t="inlineStr">
        <is>
          <t>N/A</t>
        </is>
      </c>
      <c r="E13" t="n">
        <v>14</v>
      </c>
      <c r="F13" t="n">
        <v>2008</v>
      </c>
      <c r="G13" t="n">
        <v>1</v>
      </c>
      <c r="H13" t="n">
        <v>14</v>
      </c>
      <c r="J13" t="n">
        <v>2.06</v>
      </c>
      <c r="K13" t="n">
        <v>115</v>
      </c>
      <c r="L13" t="n">
        <v>84</v>
      </c>
      <c r="M13" t="n">
        <v>64</v>
      </c>
      <c r="N13" t="n">
        <v>52</v>
      </c>
      <c r="O13" t="n">
        <v>60</v>
      </c>
      <c r="P13" t="n">
        <v>75</v>
      </c>
      <c r="Q13" t="n">
        <v>81</v>
      </c>
      <c r="R13" t="n">
        <v>52</v>
      </c>
      <c r="S13" t="n">
        <v>53</v>
      </c>
      <c r="T13" t="n">
        <v>77</v>
      </c>
      <c r="U13" t="n">
        <v>91</v>
      </c>
      <c r="V13" t="n">
        <v>84</v>
      </c>
      <c r="W13" t="n">
        <v>57</v>
      </c>
      <c r="X13" t="n">
        <v>82</v>
      </c>
      <c r="Y13" t="n">
        <v>85</v>
      </c>
      <c r="Z13" t="n">
        <v>52</v>
      </c>
      <c r="AA13" t="n">
        <v>81</v>
      </c>
      <c r="AB13" t="n">
        <v>80</v>
      </c>
      <c r="AC13" t="n">
        <v>60</v>
      </c>
      <c r="AD13" t="n">
        <v>62</v>
      </c>
      <c r="AE13" t="n">
        <v>9149</v>
      </c>
      <c r="AF13" t="n">
        <v>2002994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  <row r="14">
      <c r="A14" t="inlineStr">
        <is>
          <t>Ferdinand Justus</t>
        </is>
      </c>
      <c r="B14" t="inlineStr">
        <is>
          <t>Trefzger</t>
        </is>
      </c>
      <c r="C14" t="inlineStr">
        <is>
          <t>PG</t>
        </is>
      </c>
      <c r="D14" t="inlineStr">
        <is>
          <t>N/A</t>
        </is>
      </c>
      <c r="E14" t="n">
        <v>3</v>
      </c>
      <c r="F14" t="n">
        <v>2009</v>
      </c>
      <c r="G14" t="n">
        <v>9</v>
      </c>
      <c r="H14" t="n">
        <v>21</v>
      </c>
      <c r="J14" t="n">
        <v>1.89</v>
      </c>
      <c r="K14" t="n">
        <v>67</v>
      </c>
      <c r="L14" t="n">
        <v>71</v>
      </c>
      <c r="M14" t="n">
        <v>76</v>
      </c>
      <c r="N14" t="n">
        <v>71</v>
      </c>
      <c r="O14" t="n">
        <v>81</v>
      </c>
      <c r="P14" t="n">
        <v>82</v>
      </c>
      <c r="Q14" t="n">
        <v>58</v>
      </c>
      <c r="R14" t="n">
        <v>87</v>
      </c>
      <c r="S14" t="n">
        <v>81</v>
      </c>
      <c r="T14" t="n">
        <v>51</v>
      </c>
      <c r="U14" t="n">
        <v>50</v>
      </c>
      <c r="V14" t="n">
        <v>50</v>
      </c>
      <c r="W14" t="n">
        <v>83</v>
      </c>
      <c r="X14" t="n">
        <v>51</v>
      </c>
      <c r="Y14" t="n">
        <v>51</v>
      </c>
      <c r="Z14" t="n">
        <v>93</v>
      </c>
      <c r="AA14" t="n">
        <v>78</v>
      </c>
      <c r="AB14" t="n">
        <v>73</v>
      </c>
      <c r="AC14" t="n">
        <v>66</v>
      </c>
      <c r="AD14" t="n">
        <v>66</v>
      </c>
      <c r="AE14" t="n">
        <v>5525</v>
      </c>
      <c r="AF14" t="n">
        <v>2001841</v>
      </c>
      <c r="AG14">
        <f>IF(ISNA(MATCH($C14,'_Overall_Model'!$A$2:$A$6,0)),"",ROUND(SUMPRODUCT(L14:AD14,INDEX('_Overall_Model'!$B$2:$T$6,MATCH($C14,'_Overall_Model'!$A$2:$A$6,0),0))+INDEX('_Overall_Model'!$U$2:$U$6,MATCH($C14,'_Overall_Model'!$A$2:$A$6,0))+INDEX('_Overall_Model'!$V$2:$V$6,MATCH($C14,'_Overall_Model'!$A$2:$A$6,0))*IF(Q14&gt;=75,99,IF(Q14&gt;=60,50,0))+INDEX('_Overall_Model'!$W$2:$W$6,MATCH($C14,'_Overall_Model'!$A$2:$A$6,0))*J14+INDEX('_Overall_Model'!$X$2:$X$6,MATCH($C14,'_Overall_Model'!$A$2:$A$6,0))*K14,0)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G15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Kyndahl</t>
        </is>
      </c>
      <c r="B2" t="inlineStr">
        <is>
          <t>Hill</t>
        </is>
      </c>
      <c r="C2" t="inlineStr">
        <is>
          <t>C</t>
        </is>
      </c>
      <c r="D2" t="inlineStr">
        <is>
          <t>N/A</t>
        </is>
      </c>
      <c r="E2" t="n">
        <v>5</v>
      </c>
      <c r="F2" t="n">
        <v>1994</v>
      </c>
      <c r="G2" t="n">
        <v>8</v>
      </c>
      <c r="H2" t="n">
        <v>21</v>
      </c>
      <c r="J2" t="n">
        <v>2.01</v>
      </c>
      <c r="K2" t="n">
        <v>102</v>
      </c>
      <c r="L2" t="n">
        <v>92</v>
      </c>
      <c r="M2" t="n">
        <v>75</v>
      </c>
      <c r="N2" t="n">
        <v>63</v>
      </c>
      <c r="O2" t="n">
        <v>60</v>
      </c>
      <c r="P2" t="n">
        <v>83</v>
      </c>
      <c r="Q2" t="n">
        <v>89</v>
      </c>
      <c r="R2" t="n">
        <v>61</v>
      </c>
      <c r="S2" t="n">
        <v>66</v>
      </c>
      <c r="T2" t="n">
        <v>86</v>
      </c>
      <c r="U2" t="n">
        <v>92</v>
      </c>
      <c r="V2" t="n">
        <v>90</v>
      </c>
      <c r="W2" t="n">
        <v>66</v>
      </c>
      <c r="X2" t="n">
        <v>99</v>
      </c>
      <c r="Y2" t="n">
        <v>69</v>
      </c>
      <c r="Z2" t="n">
        <v>60</v>
      </c>
      <c r="AA2" t="n">
        <v>87</v>
      </c>
      <c r="AB2" t="n">
        <v>99</v>
      </c>
      <c r="AC2" t="n">
        <v>77</v>
      </c>
      <c r="AD2" t="n">
        <v>83</v>
      </c>
      <c r="AE2" t="n">
        <v>9136</v>
      </c>
      <c r="AF2" t="n">
        <v>2004426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Kenneth Andrew</t>
        </is>
      </c>
      <c r="B3" t="inlineStr">
        <is>
          <t>Cooper</t>
        </is>
      </c>
      <c r="C3" t="inlineStr">
        <is>
          <t>SG</t>
        </is>
      </c>
      <c r="D3" t="inlineStr">
        <is>
          <t>N/A</t>
        </is>
      </c>
      <c r="E3" t="n">
        <v>22</v>
      </c>
      <c r="F3" t="n">
        <v>1998</v>
      </c>
      <c r="G3" t="n">
        <v>8</v>
      </c>
      <c r="H3" t="n">
        <v>14</v>
      </c>
      <c r="J3" t="n">
        <v>1.8</v>
      </c>
      <c r="K3" t="n">
        <v>85</v>
      </c>
      <c r="L3" t="n">
        <v>87</v>
      </c>
      <c r="M3" t="n">
        <v>90</v>
      </c>
      <c r="N3" t="n">
        <v>99</v>
      </c>
      <c r="O3" t="n">
        <v>93</v>
      </c>
      <c r="P3" t="n">
        <v>95</v>
      </c>
      <c r="Q3" t="n">
        <v>69</v>
      </c>
      <c r="R3" t="n">
        <v>91</v>
      </c>
      <c r="S3" t="n">
        <v>81</v>
      </c>
      <c r="T3" t="n">
        <v>66</v>
      </c>
      <c r="U3" t="n">
        <v>60</v>
      </c>
      <c r="V3" t="n">
        <v>60</v>
      </c>
      <c r="W3" t="n">
        <v>94</v>
      </c>
      <c r="X3" t="n">
        <v>61</v>
      </c>
      <c r="Y3" t="n">
        <v>68</v>
      </c>
      <c r="Z3" t="n">
        <v>95</v>
      </c>
      <c r="AA3" t="n">
        <v>88</v>
      </c>
      <c r="AB3" t="n">
        <v>82</v>
      </c>
      <c r="AC3" t="n">
        <v>83</v>
      </c>
      <c r="AD3" t="n">
        <v>84</v>
      </c>
      <c r="AE3" t="n">
        <v>9109</v>
      </c>
      <c r="AF3" t="n">
        <v>2004201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Sebastian</t>
        </is>
      </c>
      <c r="B4" t="inlineStr">
        <is>
          <t>Brach</t>
        </is>
      </c>
      <c r="C4" t="inlineStr">
        <is>
          <t>SG</t>
        </is>
      </c>
      <c r="D4" t="inlineStr">
        <is>
          <t>N/A</t>
        </is>
      </c>
      <c r="E4" t="n">
        <v>10</v>
      </c>
      <c r="F4" t="n">
        <v>2002</v>
      </c>
      <c r="G4" t="n">
        <v>2</v>
      </c>
      <c r="H4" t="n">
        <v>22</v>
      </c>
      <c r="J4" t="n">
        <v>1.9</v>
      </c>
      <c r="K4" t="n">
        <v>88</v>
      </c>
      <c r="L4" t="n">
        <v>82</v>
      </c>
      <c r="M4" t="n">
        <v>85</v>
      </c>
      <c r="N4" t="n">
        <v>94</v>
      </c>
      <c r="O4" t="n">
        <v>92</v>
      </c>
      <c r="P4" t="n">
        <v>89</v>
      </c>
      <c r="Q4" t="n">
        <v>68</v>
      </c>
      <c r="R4" t="n">
        <v>89</v>
      </c>
      <c r="S4" t="n">
        <v>80</v>
      </c>
      <c r="T4" t="n">
        <v>62</v>
      </c>
      <c r="U4" t="n">
        <v>61</v>
      </c>
      <c r="V4" t="n">
        <v>61</v>
      </c>
      <c r="W4" t="n">
        <v>85</v>
      </c>
      <c r="X4" t="n">
        <v>60</v>
      </c>
      <c r="Y4" t="n">
        <v>67</v>
      </c>
      <c r="Z4" t="n">
        <v>92</v>
      </c>
      <c r="AA4" t="n">
        <v>87</v>
      </c>
      <c r="AB4" t="n">
        <v>81</v>
      </c>
      <c r="AC4" t="n">
        <v>81</v>
      </c>
      <c r="AD4" t="n">
        <v>80</v>
      </c>
      <c r="AE4" t="n">
        <v>9111</v>
      </c>
      <c r="AF4" t="n">
        <v>2004203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Akim-Jamal</t>
        </is>
      </c>
      <c r="B5" t="inlineStr">
        <is>
          <t>Jonah</t>
        </is>
      </c>
      <c r="C5" t="inlineStr">
        <is>
          <t>C</t>
        </is>
      </c>
      <c r="D5" t="inlineStr">
        <is>
          <t>N/A</t>
        </is>
      </c>
      <c r="E5" t="n">
        <v>34</v>
      </c>
      <c r="F5" t="n">
        <v>1998</v>
      </c>
      <c r="G5" t="n">
        <v>11</v>
      </c>
      <c r="H5" t="n">
        <v>16</v>
      </c>
      <c r="J5" t="n">
        <v>2.1</v>
      </c>
      <c r="K5" t="n">
        <v>110</v>
      </c>
      <c r="L5" t="n">
        <v>94</v>
      </c>
      <c r="M5" t="n">
        <v>74</v>
      </c>
      <c r="N5" t="n">
        <v>62</v>
      </c>
      <c r="O5" t="n">
        <v>69</v>
      </c>
      <c r="P5" t="n">
        <v>85</v>
      </c>
      <c r="Q5" t="n">
        <v>90</v>
      </c>
      <c r="R5" t="n">
        <v>60</v>
      </c>
      <c r="S5" t="n">
        <v>63</v>
      </c>
      <c r="T5" t="n">
        <v>86</v>
      </c>
      <c r="U5" t="n">
        <v>98</v>
      </c>
      <c r="V5" t="n">
        <v>94</v>
      </c>
      <c r="W5" t="n">
        <v>65</v>
      </c>
      <c r="X5" t="n">
        <v>99</v>
      </c>
      <c r="Y5" t="n">
        <v>99</v>
      </c>
      <c r="Z5" t="n">
        <v>55</v>
      </c>
      <c r="AA5" t="n">
        <v>89</v>
      </c>
      <c r="AB5" t="n">
        <v>94</v>
      </c>
      <c r="AC5" t="n">
        <v>74</v>
      </c>
      <c r="AD5" t="n">
        <v>77</v>
      </c>
      <c r="AE5" t="n">
        <v>9108</v>
      </c>
      <c r="AF5" t="n">
        <v>2004200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Martin</t>
        </is>
      </c>
      <c r="B6" t="inlineStr">
        <is>
          <t>Bogdanov</t>
        </is>
      </c>
      <c r="C6" t="inlineStr">
        <is>
          <t>PG</t>
        </is>
      </c>
      <c r="D6" t="inlineStr">
        <is>
          <t>N/A</t>
        </is>
      </c>
      <c r="E6" t="n">
        <v>6</v>
      </c>
      <c r="F6" t="n">
        <v>1992</v>
      </c>
      <c r="G6" t="n">
        <v>10</v>
      </c>
      <c r="H6" t="n">
        <v>6</v>
      </c>
      <c r="J6" t="n">
        <v>1.86</v>
      </c>
      <c r="K6" t="n">
        <v>83</v>
      </c>
      <c r="L6" t="n">
        <v>81</v>
      </c>
      <c r="M6" t="n">
        <v>86</v>
      </c>
      <c r="N6" t="n">
        <v>67</v>
      </c>
      <c r="O6" t="n">
        <v>69</v>
      </c>
      <c r="P6" t="n">
        <v>92</v>
      </c>
      <c r="Q6" t="n">
        <v>65</v>
      </c>
      <c r="R6" t="n">
        <v>98</v>
      </c>
      <c r="S6" t="n">
        <v>99</v>
      </c>
      <c r="T6" t="n">
        <v>60</v>
      </c>
      <c r="U6" t="n">
        <v>55</v>
      </c>
      <c r="V6" t="n">
        <v>55</v>
      </c>
      <c r="W6" t="n">
        <v>91</v>
      </c>
      <c r="X6" t="n">
        <v>59</v>
      </c>
      <c r="Y6" t="n">
        <v>59</v>
      </c>
      <c r="Z6" t="n">
        <v>92</v>
      </c>
      <c r="AA6" t="n">
        <v>83</v>
      </c>
      <c r="AB6" t="n">
        <v>81</v>
      </c>
      <c r="AC6" t="n">
        <v>81</v>
      </c>
      <c r="AD6" t="n">
        <v>85</v>
      </c>
      <c r="AE6" t="n">
        <v>5009</v>
      </c>
      <c r="AF6" t="n">
        <v>5575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Alieu</t>
        </is>
      </c>
      <c r="B7" t="inlineStr">
        <is>
          <t>Ceesay</t>
        </is>
      </c>
      <c r="C7" t="inlineStr">
        <is>
          <t>SF</t>
        </is>
      </c>
      <c r="D7" t="inlineStr">
        <is>
          <t>N/A</t>
        </is>
      </c>
      <c r="E7" t="n">
        <v>28</v>
      </c>
      <c r="F7" t="n">
        <v>1997</v>
      </c>
      <c r="G7" t="n">
        <v>6</v>
      </c>
      <c r="H7" t="n">
        <v>9</v>
      </c>
      <c r="J7" t="n">
        <v>1.96</v>
      </c>
      <c r="K7" t="n">
        <v>96</v>
      </c>
      <c r="L7" t="n">
        <v>82</v>
      </c>
      <c r="M7" t="n">
        <v>82</v>
      </c>
      <c r="N7" t="n">
        <v>75</v>
      </c>
      <c r="O7" t="n">
        <v>69</v>
      </c>
      <c r="P7" t="n">
        <v>86</v>
      </c>
      <c r="Q7" t="n">
        <v>76</v>
      </c>
      <c r="R7" t="n">
        <v>79</v>
      </c>
      <c r="S7" t="n">
        <v>73</v>
      </c>
      <c r="T7" t="n">
        <v>64</v>
      </c>
      <c r="U7" t="n">
        <v>76</v>
      </c>
      <c r="V7" t="n">
        <v>69</v>
      </c>
      <c r="W7" t="n">
        <v>79</v>
      </c>
      <c r="X7" t="n">
        <v>74</v>
      </c>
      <c r="Y7" t="n">
        <v>69</v>
      </c>
      <c r="Z7" t="n">
        <v>84</v>
      </c>
      <c r="AA7" t="n">
        <v>85</v>
      </c>
      <c r="AB7" t="n">
        <v>84</v>
      </c>
      <c r="AC7" t="n">
        <v>80</v>
      </c>
      <c r="AD7" t="n">
        <v>80</v>
      </c>
      <c r="AE7" t="n">
        <v>5166</v>
      </c>
      <c r="AF7" t="n">
        <v>2001705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Brock Boone</t>
        </is>
      </c>
      <c r="B8" t="inlineStr">
        <is>
          <t>Gardner</t>
        </is>
      </c>
      <c r="C8" t="inlineStr">
        <is>
          <t>PF</t>
        </is>
      </c>
      <c r="D8" t="inlineStr">
        <is>
          <t>N/A</t>
        </is>
      </c>
      <c r="E8" t="n">
        <v>4</v>
      </c>
      <c r="F8" t="n">
        <v>1997</v>
      </c>
      <c r="G8" t="n">
        <v>11</v>
      </c>
      <c r="H8" t="n">
        <v>11</v>
      </c>
      <c r="J8" t="n">
        <v>2.01</v>
      </c>
      <c r="K8" t="n">
        <v>102</v>
      </c>
      <c r="L8" t="n">
        <v>86</v>
      </c>
      <c r="M8" t="n">
        <v>78</v>
      </c>
      <c r="N8" t="n">
        <v>81</v>
      </c>
      <c r="O8" t="n">
        <v>79</v>
      </c>
      <c r="P8" t="n">
        <v>83</v>
      </c>
      <c r="Q8" t="n">
        <v>82</v>
      </c>
      <c r="R8" t="n">
        <v>67</v>
      </c>
      <c r="S8" t="n">
        <v>69</v>
      </c>
      <c r="T8" t="n">
        <v>81</v>
      </c>
      <c r="U8" t="n">
        <v>85</v>
      </c>
      <c r="V8" t="n">
        <v>79</v>
      </c>
      <c r="W8" t="n">
        <v>69</v>
      </c>
      <c r="X8" t="n">
        <v>90</v>
      </c>
      <c r="Y8" t="n">
        <v>69</v>
      </c>
      <c r="Z8" t="n">
        <v>71</v>
      </c>
      <c r="AA8" t="n">
        <v>86</v>
      </c>
      <c r="AB8" t="n">
        <v>89</v>
      </c>
      <c r="AC8" t="n">
        <v>75</v>
      </c>
      <c r="AD8" t="n">
        <v>77</v>
      </c>
      <c r="AE8" t="n">
        <v>9187</v>
      </c>
      <c r="AF8" t="n">
        <v>2005027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Aeneas</t>
        </is>
      </c>
      <c r="B9" t="inlineStr">
        <is>
          <t>Jung</t>
        </is>
      </c>
      <c r="C9" t="inlineStr">
        <is>
          <t>PF</t>
        </is>
      </c>
      <c r="D9" t="inlineStr">
        <is>
          <t>N/A</t>
        </is>
      </c>
      <c r="E9" t="n">
        <v>9</v>
      </c>
      <c r="F9" t="n">
        <v>2002</v>
      </c>
      <c r="G9" t="n">
        <v>2</v>
      </c>
      <c r="H9" t="n">
        <v>13</v>
      </c>
      <c r="J9" t="n">
        <v>2.03</v>
      </c>
      <c r="K9" t="n">
        <v>100</v>
      </c>
      <c r="L9" t="n">
        <v>83</v>
      </c>
      <c r="M9" t="n">
        <v>75</v>
      </c>
      <c r="N9" t="n">
        <v>67</v>
      </c>
      <c r="O9" t="n">
        <v>60</v>
      </c>
      <c r="P9" t="n">
        <v>80</v>
      </c>
      <c r="Q9" t="n">
        <v>80</v>
      </c>
      <c r="R9" t="n">
        <v>66</v>
      </c>
      <c r="S9" t="n">
        <v>68</v>
      </c>
      <c r="T9" t="n">
        <v>79</v>
      </c>
      <c r="U9" t="n">
        <v>84</v>
      </c>
      <c r="V9" t="n">
        <v>78</v>
      </c>
      <c r="W9" t="n">
        <v>68</v>
      </c>
      <c r="X9" t="n">
        <v>89</v>
      </c>
      <c r="Y9" t="n">
        <v>69</v>
      </c>
      <c r="Z9" t="n">
        <v>70</v>
      </c>
      <c r="AA9" t="n">
        <v>85</v>
      </c>
      <c r="AB9" t="n">
        <v>88</v>
      </c>
      <c r="AC9" t="n">
        <v>74</v>
      </c>
      <c r="AD9" t="n">
        <v>75</v>
      </c>
      <c r="AE9" t="n">
        <v>9099</v>
      </c>
      <c r="AF9" t="n">
        <v>2004199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Dennis</t>
        </is>
      </c>
      <c r="B10" t="inlineStr">
        <is>
          <t>Nawrocki</t>
        </is>
      </c>
      <c r="C10" t="inlineStr">
        <is>
          <t>SF</t>
        </is>
      </c>
      <c r="D10" t="inlineStr">
        <is>
          <t>N/A</t>
        </is>
      </c>
      <c r="E10" t="n">
        <v>2</v>
      </c>
      <c r="F10" t="n">
        <v>1992</v>
      </c>
      <c r="G10" t="n">
        <v>12</v>
      </c>
      <c r="H10" t="n">
        <v>8</v>
      </c>
      <c r="J10" t="n">
        <v>1.92</v>
      </c>
      <c r="K10" t="n">
        <v>92</v>
      </c>
      <c r="L10" t="n">
        <v>80</v>
      </c>
      <c r="M10" t="n">
        <v>80</v>
      </c>
      <c r="N10" t="n">
        <v>80</v>
      </c>
      <c r="O10" t="n">
        <v>85</v>
      </c>
      <c r="P10" t="n">
        <v>87</v>
      </c>
      <c r="Q10" t="n">
        <v>72</v>
      </c>
      <c r="R10" t="n">
        <v>79</v>
      </c>
      <c r="S10" t="n">
        <v>73</v>
      </c>
      <c r="T10" t="n">
        <v>62</v>
      </c>
      <c r="U10" t="n">
        <v>68</v>
      </c>
      <c r="V10" t="n">
        <v>63</v>
      </c>
      <c r="W10" t="n">
        <v>74</v>
      </c>
      <c r="X10" t="n">
        <v>69</v>
      </c>
      <c r="Y10" t="n">
        <v>69</v>
      </c>
      <c r="Z10" t="n">
        <v>81</v>
      </c>
      <c r="AA10" t="n">
        <v>80</v>
      </c>
      <c r="AB10" t="n">
        <v>79</v>
      </c>
      <c r="AC10" t="n">
        <v>79</v>
      </c>
      <c r="AD10" t="n">
        <v>83</v>
      </c>
      <c r="AE10" t="n">
        <v>9110</v>
      </c>
      <c r="AF10" t="n">
        <v>2004202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Matthias</t>
        </is>
      </c>
      <c r="B11" t="inlineStr">
        <is>
          <t>Fichtner</t>
        </is>
      </c>
      <c r="C11" t="inlineStr">
        <is>
          <t>PF</t>
        </is>
      </c>
      <c r="D11" t="inlineStr">
        <is>
          <t>N/A</t>
        </is>
      </c>
      <c r="E11" t="n">
        <v>35</v>
      </c>
      <c r="F11" t="n">
        <v>1998</v>
      </c>
      <c r="G11" t="n">
        <v>10</v>
      </c>
      <c r="H11" t="n">
        <v>3</v>
      </c>
      <c r="J11" t="n">
        <v>1.97</v>
      </c>
      <c r="K11" t="n">
        <v>96</v>
      </c>
      <c r="L11" t="n">
        <v>82</v>
      </c>
      <c r="M11" t="n">
        <v>74</v>
      </c>
      <c r="N11" t="n">
        <v>77</v>
      </c>
      <c r="O11" t="n">
        <v>69</v>
      </c>
      <c r="P11" t="n">
        <v>79</v>
      </c>
      <c r="Q11" t="n">
        <v>79</v>
      </c>
      <c r="R11" t="n">
        <v>67</v>
      </c>
      <c r="S11" t="n">
        <v>67</v>
      </c>
      <c r="T11" t="n">
        <v>78</v>
      </c>
      <c r="U11" t="n">
        <v>83</v>
      </c>
      <c r="V11" t="n">
        <v>77</v>
      </c>
      <c r="W11" t="n">
        <v>67</v>
      </c>
      <c r="X11" t="n">
        <v>85</v>
      </c>
      <c r="Y11" t="n">
        <v>83</v>
      </c>
      <c r="Z11" t="n">
        <v>71</v>
      </c>
      <c r="AA11" t="n">
        <v>84</v>
      </c>
      <c r="AB11" t="n">
        <v>84</v>
      </c>
      <c r="AC11" t="n">
        <v>72</v>
      </c>
      <c r="AD11" t="n">
        <v>74</v>
      </c>
      <c r="AE11" t="n">
        <v>5014</v>
      </c>
      <c r="AF11" t="n">
        <v>6055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Marcus</t>
        </is>
      </c>
      <c r="B12" t="inlineStr">
        <is>
          <t>Evans</t>
        </is>
      </c>
      <c r="C12" t="inlineStr">
        <is>
          <t>SG</t>
        </is>
      </c>
      <c r="D12" t="inlineStr">
        <is>
          <t>N/A</t>
        </is>
      </c>
      <c r="E12" t="n">
        <v>1</v>
      </c>
      <c r="F12" t="n">
        <v>1996</v>
      </c>
      <c r="G12" t="n">
        <v>6</v>
      </c>
      <c r="H12" t="n">
        <v>17</v>
      </c>
      <c r="J12" t="n">
        <v>1.88</v>
      </c>
      <c r="K12" t="n">
        <v>86</v>
      </c>
      <c r="L12" t="n">
        <v>78</v>
      </c>
      <c r="M12" t="n">
        <v>81</v>
      </c>
      <c r="N12" t="n">
        <v>83</v>
      </c>
      <c r="O12" t="n">
        <v>60</v>
      </c>
      <c r="P12" t="n">
        <v>85</v>
      </c>
      <c r="Q12" t="n">
        <v>64</v>
      </c>
      <c r="R12" t="n">
        <v>84</v>
      </c>
      <c r="S12" t="n">
        <v>75</v>
      </c>
      <c r="T12" t="n">
        <v>58</v>
      </c>
      <c r="U12" t="n">
        <v>57</v>
      </c>
      <c r="V12" t="n">
        <v>57</v>
      </c>
      <c r="W12" t="n">
        <v>78</v>
      </c>
      <c r="X12" t="n">
        <v>56</v>
      </c>
      <c r="Y12" t="n">
        <v>61</v>
      </c>
      <c r="Z12" t="n">
        <v>85</v>
      </c>
      <c r="AA12" t="n">
        <v>80</v>
      </c>
      <c r="AB12" t="n">
        <v>77</v>
      </c>
      <c r="AC12" t="n">
        <v>78</v>
      </c>
      <c r="AD12" t="n">
        <v>82</v>
      </c>
      <c r="AE12" t="n">
        <v>9112</v>
      </c>
      <c r="AF12" t="n">
        <v>2004206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Carl Thure</t>
        </is>
      </c>
      <c r="B13" t="inlineStr">
        <is>
          <t>Peters</t>
        </is>
      </c>
      <c r="C13" t="inlineStr">
        <is>
          <t>SG</t>
        </is>
      </c>
      <c r="D13" t="inlineStr">
        <is>
          <t>N/A</t>
        </is>
      </c>
      <c r="E13" t="n">
        <v>8</v>
      </c>
      <c r="F13" t="n">
        <v>2005</v>
      </c>
      <c r="G13" t="n">
        <v>6</v>
      </c>
      <c r="H13" t="n">
        <v>8</v>
      </c>
      <c r="J13" t="n">
        <v>1.92</v>
      </c>
      <c r="K13" t="n">
        <v>85</v>
      </c>
      <c r="L13" t="n">
        <v>78</v>
      </c>
      <c r="M13" t="n">
        <v>81</v>
      </c>
      <c r="N13" t="n">
        <v>90</v>
      </c>
      <c r="O13" t="n">
        <v>88</v>
      </c>
      <c r="P13" t="n">
        <v>85</v>
      </c>
      <c r="Q13" t="n">
        <v>66</v>
      </c>
      <c r="R13" t="n">
        <v>84</v>
      </c>
      <c r="S13" t="n">
        <v>71</v>
      </c>
      <c r="T13" t="n">
        <v>58</v>
      </c>
      <c r="U13" t="n">
        <v>57</v>
      </c>
      <c r="V13" t="n">
        <v>57</v>
      </c>
      <c r="W13" t="n">
        <v>78</v>
      </c>
      <c r="X13" t="n">
        <v>56</v>
      </c>
      <c r="Y13" t="n">
        <v>61</v>
      </c>
      <c r="Z13" t="n">
        <v>92</v>
      </c>
      <c r="AA13" t="n">
        <v>83</v>
      </c>
      <c r="AB13" t="n">
        <v>77</v>
      </c>
      <c r="AC13" t="n">
        <v>71</v>
      </c>
      <c r="AD13" t="n">
        <v>71</v>
      </c>
      <c r="AE13" t="n">
        <v>9126</v>
      </c>
      <c r="AF13" t="n">
        <v>2004267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  <row r="14">
      <c r="A14" t="inlineStr">
        <is>
          <t>Paul Manuel</t>
        </is>
      </c>
      <c r="B14" t="inlineStr">
        <is>
          <t>Raabe</t>
        </is>
      </c>
      <c r="C14" t="inlineStr">
        <is>
          <t>SF</t>
        </is>
      </c>
      <c r="D14" t="inlineStr">
        <is>
          <t>N/A</t>
        </is>
      </c>
      <c r="E14" t="n">
        <v>77</v>
      </c>
      <c r="F14" t="n">
        <v>2006</v>
      </c>
      <c r="G14" t="n">
        <v>3</v>
      </c>
      <c r="H14" t="n">
        <v>11</v>
      </c>
      <c r="J14" t="n">
        <v>1.96</v>
      </c>
      <c r="K14" t="n">
        <v>90</v>
      </c>
      <c r="L14" t="n">
        <v>76</v>
      </c>
      <c r="M14" t="n">
        <v>76</v>
      </c>
      <c r="N14" t="n">
        <v>60</v>
      </c>
      <c r="O14" t="n">
        <v>69</v>
      </c>
      <c r="P14" t="n">
        <v>80</v>
      </c>
      <c r="Q14" t="n">
        <v>72</v>
      </c>
      <c r="R14" t="n">
        <v>73</v>
      </c>
      <c r="S14" t="n">
        <v>65</v>
      </c>
      <c r="T14" t="n">
        <v>58</v>
      </c>
      <c r="U14" t="n">
        <v>68</v>
      </c>
      <c r="V14" t="n">
        <v>63</v>
      </c>
      <c r="W14" t="n">
        <v>70</v>
      </c>
      <c r="X14" t="n">
        <v>65</v>
      </c>
      <c r="Y14" t="n">
        <v>65</v>
      </c>
      <c r="Z14" t="n">
        <v>82</v>
      </c>
      <c r="AA14" t="n">
        <v>79</v>
      </c>
      <c r="AB14" t="n">
        <v>75</v>
      </c>
      <c r="AC14" t="n">
        <v>68</v>
      </c>
      <c r="AD14" t="n">
        <v>68</v>
      </c>
      <c r="AE14" t="n">
        <v>9168</v>
      </c>
      <c r="AF14" t="n">
        <v>2004707</v>
      </c>
      <c r="AG14">
        <f>IF(ISNA(MATCH($C14,'_Overall_Model'!$A$2:$A$6,0)),"",ROUND(SUMPRODUCT(L14:AD14,INDEX('_Overall_Model'!$B$2:$T$6,MATCH($C14,'_Overall_Model'!$A$2:$A$6,0),0))+INDEX('_Overall_Model'!$U$2:$U$6,MATCH($C14,'_Overall_Model'!$A$2:$A$6,0))+INDEX('_Overall_Model'!$V$2:$V$6,MATCH($C14,'_Overall_Model'!$A$2:$A$6,0))*IF(Q14&gt;=75,99,IF(Q14&gt;=60,50,0))+INDEX('_Overall_Model'!$W$2:$W$6,MATCH($C14,'_Overall_Model'!$A$2:$A$6,0))*J14+INDEX('_Overall_Model'!$X$2:$X$6,MATCH($C14,'_Overall_Model'!$A$2:$A$6,0))*K14,0))</f>
        <v/>
      </c>
    </row>
    <row r="15">
      <c r="A15" t="inlineStr">
        <is>
          <t>Julius</t>
        </is>
      </c>
      <c r="B15" t="inlineStr">
        <is>
          <t>von Oertzen</t>
        </is>
      </c>
      <c r="C15" t="inlineStr">
        <is>
          <t>C</t>
        </is>
      </c>
      <c r="D15" t="inlineStr">
        <is>
          <t>N/A</t>
        </is>
      </c>
      <c r="E15" t="n">
        <v>36</v>
      </c>
      <c r="F15" t="n">
        <v>2005</v>
      </c>
      <c r="G15" t="n">
        <v>7</v>
      </c>
      <c r="H15" t="n">
        <v>31</v>
      </c>
      <c r="J15" t="n">
        <v>2.1</v>
      </c>
      <c r="K15" t="n">
        <v>115</v>
      </c>
      <c r="L15" t="n">
        <v>81</v>
      </c>
      <c r="M15" t="n">
        <v>64</v>
      </c>
      <c r="N15" t="n">
        <v>52</v>
      </c>
      <c r="O15" t="n">
        <v>60</v>
      </c>
      <c r="P15" t="n">
        <v>72</v>
      </c>
      <c r="Q15" t="n">
        <v>83</v>
      </c>
      <c r="R15" t="n">
        <v>52</v>
      </c>
      <c r="S15" t="n">
        <v>53</v>
      </c>
      <c r="T15" t="n">
        <v>76</v>
      </c>
      <c r="U15" t="n">
        <v>93</v>
      </c>
      <c r="V15" t="n">
        <v>86</v>
      </c>
      <c r="W15" t="n">
        <v>57</v>
      </c>
      <c r="X15" t="n">
        <v>90</v>
      </c>
      <c r="Y15" t="n">
        <v>87</v>
      </c>
      <c r="Z15" t="n">
        <v>50</v>
      </c>
      <c r="AA15" t="n">
        <v>81</v>
      </c>
      <c r="AB15" t="n">
        <v>83</v>
      </c>
      <c r="AC15" t="n">
        <v>60</v>
      </c>
      <c r="AD15" t="n">
        <v>62</v>
      </c>
      <c r="AE15" t="n">
        <v>9124</v>
      </c>
      <c r="AF15" t="n">
        <v>2004266</v>
      </c>
      <c r="AG15">
        <f>IF(ISNA(MATCH($C15,'_Overall_Model'!$A$2:$A$6,0)),"",ROUND(SUMPRODUCT(L15:AD15,INDEX('_Overall_Model'!$B$2:$T$6,MATCH($C15,'_Overall_Model'!$A$2:$A$6,0),0))+INDEX('_Overall_Model'!$U$2:$U$6,MATCH($C15,'_Overall_Model'!$A$2:$A$6,0))+INDEX('_Overall_Model'!$V$2:$V$6,MATCH($C15,'_Overall_Model'!$A$2:$A$6,0))*IF(Q15&gt;=75,99,IF(Q15&gt;=60,50,0))+INDEX('_Overall_Model'!$W$2:$W$6,MATCH($C15,'_Overall_Model'!$A$2:$A$6,0))*J15+INDEX('_Overall_Model'!$X$2:$X$6,MATCH($C15,'_Overall_Model'!$A$2:$A$6,0))*K15,0)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G16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Simon</t>
        </is>
      </c>
      <c r="B2" t="inlineStr">
        <is>
          <t>Feneberg</t>
        </is>
      </c>
      <c r="C2" t="inlineStr">
        <is>
          <t>PG</t>
        </is>
      </c>
      <c r="D2" t="inlineStr">
        <is>
          <t>N/A</t>
        </is>
      </c>
      <c r="E2" t="n">
        <v>20</v>
      </c>
      <c r="F2" t="n">
        <v>2005</v>
      </c>
      <c r="G2" t="n">
        <v>2</v>
      </c>
      <c r="H2" t="n">
        <v>20</v>
      </c>
      <c r="J2" t="n">
        <v>1.91</v>
      </c>
      <c r="K2" t="n">
        <v>83</v>
      </c>
      <c r="L2" t="n">
        <v>84</v>
      </c>
      <c r="M2" t="n">
        <v>89</v>
      </c>
      <c r="N2" t="n">
        <v>67</v>
      </c>
      <c r="O2" t="n">
        <v>97</v>
      </c>
      <c r="P2" t="n">
        <v>95</v>
      </c>
      <c r="Q2" t="n">
        <v>70</v>
      </c>
      <c r="R2" t="n">
        <v>99</v>
      </c>
      <c r="S2" t="n">
        <v>95</v>
      </c>
      <c r="T2" t="n">
        <v>63</v>
      </c>
      <c r="U2" t="n">
        <v>58</v>
      </c>
      <c r="V2" t="n">
        <v>58</v>
      </c>
      <c r="W2" t="n">
        <v>97</v>
      </c>
      <c r="X2" t="n">
        <v>62</v>
      </c>
      <c r="Y2" t="n">
        <v>64</v>
      </c>
      <c r="Z2" t="n">
        <v>99</v>
      </c>
      <c r="AA2" t="n">
        <v>89</v>
      </c>
      <c r="AB2" t="n">
        <v>84</v>
      </c>
      <c r="AC2" t="n">
        <v>79</v>
      </c>
      <c r="AD2" t="n">
        <v>77</v>
      </c>
      <c r="AE2" t="n">
        <v>9003</v>
      </c>
      <c r="AF2" t="n">
        <v>1400000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Isaac</t>
        </is>
      </c>
      <c r="B3" t="inlineStr">
        <is>
          <t>Haney</t>
        </is>
      </c>
      <c r="C3" t="inlineStr">
        <is>
          <t>SG</t>
        </is>
      </c>
      <c r="D3" t="inlineStr">
        <is>
          <t>N/A</t>
        </is>
      </c>
      <c r="E3" t="n">
        <v>11</v>
      </c>
      <c r="F3" t="n">
        <v>2002</v>
      </c>
      <c r="G3" t="n">
        <v>8</v>
      </c>
      <c r="H3" t="n">
        <v>5</v>
      </c>
      <c r="J3" t="n">
        <v>1.88</v>
      </c>
      <c r="K3" t="n">
        <v>87</v>
      </c>
      <c r="L3" t="n">
        <v>86</v>
      </c>
      <c r="M3" t="n">
        <v>89</v>
      </c>
      <c r="N3" t="n">
        <v>67</v>
      </c>
      <c r="O3" t="n">
        <v>92</v>
      </c>
      <c r="P3" t="n">
        <v>93</v>
      </c>
      <c r="Q3" t="n">
        <v>70</v>
      </c>
      <c r="R3" t="n">
        <v>86</v>
      </c>
      <c r="S3" t="n">
        <v>77</v>
      </c>
      <c r="T3" t="n">
        <v>65</v>
      </c>
      <c r="U3" t="n">
        <v>61</v>
      </c>
      <c r="V3" t="n">
        <v>61</v>
      </c>
      <c r="W3" t="n">
        <v>85</v>
      </c>
      <c r="X3" t="n">
        <v>60</v>
      </c>
      <c r="Y3" t="n">
        <v>70</v>
      </c>
      <c r="Z3" t="n">
        <v>92</v>
      </c>
      <c r="AA3" t="n">
        <v>87</v>
      </c>
      <c r="AB3" t="n">
        <v>81</v>
      </c>
      <c r="AC3" t="n">
        <v>82</v>
      </c>
      <c r="AD3" t="n">
        <v>82</v>
      </c>
      <c r="AE3" t="n">
        <v>9038</v>
      </c>
      <c r="AF3" t="n">
        <v>2003150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Timothy</t>
        </is>
      </c>
      <c r="B4" t="inlineStr">
        <is>
          <t>Smith</t>
        </is>
      </c>
      <c r="C4" t="inlineStr">
        <is>
          <t>SF</t>
        </is>
      </c>
      <c r="D4" t="inlineStr">
        <is>
          <t>N/A</t>
        </is>
      </c>
      <c r="E4" t="n">
        <v>2</v>
      </c>
      <c r="F4" t="n">
        <v>2000</v>
      </c>
      <c r="G4" t="n">
        <v>10</v>
      </c>
      <c r="H4" t="n">
        <v>7</v>
      </c>
      <c r="J4" t="n">
        <v>2.02</v>
      </c>
      <c r="K4" t="n">
        <v>95</v>
      </c>
      <c r="L4" t="n">
        <v>90</v>
      </c>
      <c r="M4" t="n">
        <v>87</v>
      </c>
      <c r="N4" t="n">
        <v>87</v>
      </c>
      <c r="O4" t="n">
        <v>91</v>
      </c>
      <c r="P4" t="n">
        <v>94</v>
      </c>
      <c r="Q4" t="n">
        <v>79</v>
      </c>
      <c r="R4" t="n">
        <v>78</v>
      </c>
      <c r="S4" t="n">
        <v>74</v>
      </c>
      <c r="T4" t="n">
        <v>69</v>
      </c>
      <c r="U4" t="n">
        <v>77</v>
      </c>
      <c r="V4" t="n">
        <v>70</v>
      </c>
      <c r="W4" t="n">
        <v>77</v>
      </c>
      <c r="X4" t="n">
        <v>78</v>
      </c>
      <c r="Y4" t="n">
        <v>69</v>
      </c>
      <c r="Z4" t="n">
        <v>83</v>
      </c>
      <c r="AA4" t="n">
        <v>86</v>
      </c>
      <c r="AB4" t="n">
        <v>88</v>
      </c>
      <c r="AC4" t="n">
        <v>80</v>
      </c>
      <c r="AD4" t="n">
        <v>84</v>
      </c>
      <c r="AE4" t="n">
        <v>9053</v>
      </c>
      <c r="AF4" t="n">
        <v>2003819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Melkisedek Kwaku</t>
        </is>
      </c>
      <c r="B5" t="inlineStr">
        <is>
          <t>Moreaux</t>
        </is>
      </c>
      <c r="C5" t="inlineStr">
        <is>
          <t>PF</t>
        </is>
      </c>
      <c r="D5" t="inlineStr">
        <is>
          <t>N/A</t>
        </is>
      </c>
      <c r="E5" t="n">
        <v>23</v>
      </c>
      <c r="F5" t="n">
        <v>1997</v>
      </c>
      <c r="G5" t="n">
        <v>7</v>
      </c>
      <c r="H5" t="n">
        <v>23</v>
      </c>
      <c r="J5" t="n">
        <v>1.95</v>
      </c>
      <c r="K5" t="n">
        <v>97</v>
      </c>
      <c r="L5" t="n">
        <v>89</v>
      </c>
      <c r="M5" t="n">
        <v>78</v>
      </c>
      <c r="N5" t="n">
        <v>74</v>
      </c>
      <c r="O5" t="n">
        <v>69</v>
      </c>
      <c r="P5" t="n">
        <v>86</v>
      </c>
      <c r="Q5" t="n">
        <v>82</v>
      </c>
      <c r="R5" t="n">
        <v>69</v>
      </c>
      <c r="S5" t="n">
        <v>69</v>
      </c>
      <c r="T5" t="n">
        <v>82</v>
      </c>
      <c r="U5" t="n">
        <v>85</v>
      </c>
      <c r="V5" t="n">
        <v>79</v>
      </c>
      <c r="W5" t="n">
        <v>69</v>
      </c>
      <c r="X5" t="n">
        <v>90</v>
      </c>
      <c r="Y5" t="n">
        <v>69</v>
      </c>
      <c r="Z5" t="n">
        <v>73</v>
      </c>
      <c r="AA5" t="n">
        <v>86</v>
      </c>
      <c r="AB5" t="n">
        <v>89</v>
      </c>
      <c r="AC5" t="n">
        <v>75</v>
      </c>
      <c r="AD5" t="n">
        <v>77</v>
      </c>
      <c r="AE5" t="n">
        <v>5068</v>
      </c>
      <c r="AF5" t="n">
        <v>2000371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Lars</t>
        </is>
      </c>
      <c r="B6" t="inlineStr">
        <is>
          <t>Kamp</t>
        </is>
      </c>
      <c r="C6" t="inlineStr">
        <is>
          <t>SG</t>
        </is>
      </c>
      <c r="D6" t="inlineStr">
        <is>
          <t>N/A</t>
        </is>
      </c>
      <c r="E6" t="n">
        <v>7</v>
      </c>
      <c r="F6" t="n">
        <v>1996</v>
      </c>
      <c r="G6" t="n">
        <v>3</v>
      </c>
      <c r="H6" t="n">
        <v>28</v>
      </c>
      <c r="J6" t="n">
        <v>1.9</v>
      </c>
      <c r="K6" t="n">
        <v>82</v>
      </c>
      <c r="L6" t="n">
        <v>81</v>
      </c>
      <c r="M6" t="n">
        <v>84</v>
      </c>
      <c r="N6" t="n">
        <v>67</v>
      </c>
      <c r="O6" t="n">
        <v>91</v>
      </c>
      <c r="P6" t="n">
        <v>88</v>
      </c>
      <c r="Q6" t="n">
        <v>67</v>
      </c>
      <c r="R6" t="n">
        <v>87</v>
      </c>
      <c r="S6" t="n">
        <v>78</v>
      </c>
      <c r="T6" t="n">
        <v>61</v>
      </c>
      <c r="U6" t="n">
        <v>60</v>
      </c>
      <c r="V6" t="n">
        <v>60</v>
      </c>
      <c r="W6" t="n">
        <v>84</v>
      </c>
      <c r="X6" t="n">
        <v>59</v>
      </c>
      <c r="Y6" t="n">
        <v>64</v>
      </c>
      <c r="Z6" t="n">
        <v>90</v>
      </c>
      <c r="AA6" t="n">
        <v>83</v>
      </c>
      <c r="AB6" t="n">
        <v>80</v>
      </c>
      <c r="AC6" t="n">
        <v>82</v>
      </c>
      <c r="AD6" t="n">
        <v>85</v>
      </c>
      <c r="AE6" t="n">
        <v>9036</v>
      </c>
      <c r="AF6" t="n">
        <v>2003143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Creighton Bryan William</t>
        </is>
      </c>
      <c r="B7" t="inlineStr">
        <is>
          <t>Morisch</t>
        </is>
      </c>
      <c r="C7" t="inlineStr">
        <is>
          <t>C</t>
        </is>
      </c>
      <c r="D7" t="inlineStr">
        <is>
          <t>N/A</t>
        </is>
      </c>
      <c r="E7" t="n">
        <v>24</v>
      </c>
      <c r="F7" t="n">
        <v>2002</v>
      </c>
      <c r="G7" t="n">
        <v>11</v>
      </c>
      <c r="H7" t="n">
        <v>1</v>
      </c>
      <c r="J7" t="n">
        <v>2.08</v>
      </c>
      <c r="K7" t="n">
        <v>104</v>
      </c>
      <c r="L7" t="n">
        <v>87</v>
      </c>
      <c r="M7" t="n">
        <v>70</v>
      </c>
      <c r="N7" t="n">
        <v>58</v>
      </c>
      <c r="O7" t="n">
        <v>69</v>
      </c>
      <c r="P7" t="n">
        <v>78</v>
      </c>
      <c r="Q7" t="n">
        <v>85</v>
      </c>
      <c r="R7" t="n">
        <v>58</v>
      </c>
      <c r="S7" t="n">
        <v>61</v>
      </c>
      <c r="T7" t="n">
        <v>82</v>
      </c>
      <c r="U7" t="n">
        <v>91</v>
      </c>
      <c r="V7" t="n">
        <v>90</v>
      </c>
      <c r="W7" t="n">
        <v>63</v>
      </c>
      <c r="X7" t="n">
        <v>98</v>
      </c>
      <c r="Y7" t="n">
        <v>96</v>
      </c>
      <c r="Z7" t="n">
        <v>60</v>
      </c>
      <c r="AA7" t="n">
        <v>87</v>
      </c>
      <c r="AB7" t="n">
        <v>96</v>
      </c>
      <c r="AC7" t="n">
        <v>72</v>
      </c>
      <c r="AD7" t="n">
        <v>74</v>
      </c>
      <c r="AE7" t="n">
        <v>9005</v>
      </c>
      <c r="AF7" t="n">
        <v>1400004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Aiden</t>
        </is>
      </c>
      <c r="B8" t="inlineStr">
        <is>
          <t>Warnholtz</t>
        </is>
      </c>
      <c r="C8" t="inlineStr">
        <is>
          <t>PG</t>
        </is>
      </c>
      <c r="D8" t="inlineStr">
        <is>
          <t>N/A</t>
        </is>
      </c>
      <c r="E8" t="n">
        <v>3</v>
      </c>
      <c r="F8" t="n">
        <v>2000</v>
      </c>
      <c r="G8" t="n">
        <v>2</v>
      </c>
      <c r="H8" t="n">
        <v>4</v>
      </c>
      <c r="J8" t="n">
        <v>1.88</v>
      </c>
      <c r="K8" t="n">
        <v>80</v>
      </c>
      <c r="L8" t="n">
        <v>78</v>
      </c>
      <c r="M8" t="n">
        <v>83</v>
      </c>
      <c r="N8" t="n">
        <v>85</v>
      </c>
      <c r="O8" t="n">
        <v>96</v>
      </c>
      <c r="P8" t="n">
        <v>89</v>
      </c>
      <c r="Q8" t="n">
        <v>63</v>
      </c>
      <c r="R8" t="n">
        <v>94</v>
      </c>
      <c r="S8" t="n">
        <v>90</v>
      </c>
      <c r="T8" t="n">
        <v>58</v>
      </c>
      <c r="U8" t="n">
        <v>54</v>
      </c>
      <c r="V8" t="n">
        <v>54</v>
      </c>
      <c r="W8" t="n">
        <v>90</v>
      </c>
      <c r="X8" t="n">
        <v>58</v>
      </c>
      <c r="Y8" t="n">
        <v>60</v>
      </c>
      <c r="Z8" t="n">
        <v>94</v>
      </c>
      <c r="AA8" t="n">
        <v>85</v>
      </c>
      <c r="AB8" t="n">
        <v>80</v>
      </c>
      <c r="AC8" t="n">
        <v>78</v>
      </c>
      <c r="AD8" t="n">
        <v>79</v>
      </c>
      <c r="AE8" t="n">
        <v>9037</v>
      </c>
      <c r="AF8" t="n">
        <v>2003146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Kristian Henning</t>
        </is>
      </c>
      <c r="B9" t="inlineStr">
        <is>
          <t>Sjolund</t>
        </is>
      </c>
      <c r="C9" t="inlineStr">
        <is>
          <t>PF</t>
        </is>
      </c>
      <c r="D9" t="inlineStr">
        <is>
          <t>N/A</t>
        </is>
      </c>
      <c r="E9" t="n">
        <v>12</v>
      </c>
      <c r="F9" t="n">
        <v>1999</v>
      </c>
      <c r="G9" t="n">
        <v>9</v>
      </c>
      <c r="H9" t="n">
        <v>10</v>
      </c>
      <c r="J9" t="n">
        <v>2.03</v>
      </c>
      <c r="K9" t="n">
        <v>95</v>
      </c>
      <c r="L9" t="n">
        <v>82</v>
      </c>
      <c r="M9" t="n">
        <v>74</v>
      </c>
      <c r="N9" t="n">
        <v>82</v>
      </c>
      <c r="O9" t="n">
        <v>85</v>
      </c>
      <c r="P9" t="n">
        <v>79</v>
      </c>
      <c r="Q9" t="n">
        <v>79</v>
      </c>
      <c r="R9" t="n">
        <v>65</v>
      </c>
      <c r="S9" t="n">
        <v>67</v>
      </c>
      <c r="T9" t="n">
        <v>78</v>
      </c>
      <c r="U9" t="n">
        <v>83</v>
      </c>
      <c r="V9" t="n">
        <v>77</v>
      </c>
      <c r="W9" t="n">
        <v>67</v>
      </c>
      <c r="X9" t="n">
        <v>85</v>
      </c>
      <c r="Y9" t="n">
        <v>69</v>
      </c>
      <c r="Z9" t="n">
        <v>69</v>
      </c>
      <c r="AA9" t="n">
        <v>84</v>
      </c>
      <c r="AB9" t="n">
        <v>84</v>
      </c>
      <c r="AC9" t="n">
        <v>73</v>
      </c>
      <c r="AD9" t="n">
        <v>74</v>
      </c>
      <c r="AE9" t="n">
        <v>9114</v>
      </c>
      <c r="AF9" t="n">
        <v>2004210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Fabien</t>
        </is>
      </c>
      <c r="B10" t="inlineStr">
        <is>
          <t>Kondo</t>
        </is>
      </c>
      <c r="C10" t="inlineStr">
        <is>
          <t>C</t>
        </is>
      </c>
      <c r="D10" t="inlineStr">
        <is>
          <t>N/A</t>
        </is>
      </c>
      <c r="E10" t="n">
        <v>34</v>
      </c>
      <c r="F10" t="n">
        <v>2002</v>
      </c>
      <c r="G10" t="n">
        <v>5</v>
      </c>
      <c r="H10" t="n">
        <v>17</v>
      </c>
      <c r="J10" t="n">
        <v>2.06</v>
      </c>
      <c r="K10" t="n">
        <v>116</v>
      </c>
      <c r="L10" t="n">
        <v>92</v>
      </c>
      <c r="M10" t="n">
        <v>69</v>
      </c>
      <c r="N10" t="n">
        <v>52</v>
      </c>
      <c r="O10" t="n">
        <v>60</v>
      </c>
      <c r="P10" t="n">
        <v>83</v>
      </c>
      <c r="Q10" t="n">
        <v>84</v>
      </c>
      <c r="R10" t="n">
        <v>57</v>
      </c>
      <c r="S10" t="n">
        <v>60</v>
      </c>
      <c r="T10" t="n">
        <v>83</v>
      </c>
      <c r="U10" t="n">
        <v>96</v>
      </c>
      <c r="V10" t="n">
        <v>89</v>
      </c>
      <c r="W10" t="n">
        <v>62</v>
      </c>
      <c r="X10" t="n">
        <v>90</v>
      </c>
      <c r="Y10" t="n">
        <v>80</v>
      </c>
      <c r="Z10" t="n">
        <v>53</v>
      </c>
      <c r="AA10" t="n">
        <v>86</v>
      </c>
      <c r="AB10" t="n">
        <v>88</v>
      </c>
      <c r="AC10" t="n">
        <v>70</v>
      </c>
      <c r="AD10" t="n">
        <v>73</v>
      </c>
      <c r="AE10" t="n">
        <v>9035</v>
      </c>
      <c r="AF10" t="n">
        <v>2003142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Till-Joscha</t>
        </is>
      </c>
      <c r="B11" t="inlineStr">
        <is>
          <t>Jönke</t>
        </is>
      </c>
      <c r="C11" t="inlineStr">
        <is>
          <t>SG</t>
        </is>
      </c>
      <c r="D11" t="inlineStr">
        <is>
          <t>N/A</t>
        </is>
      </c>
      <c r="E11" t="n">
        <v>26</v>
      </c>
      <c r="F11" t="n">
        <v>1992</v>
      </c>
      <c r="G11" t="n">
        <v>1</v>
      </c>
      <c r="H11" t="n">
        <v>4</v>
      </c>
      <c r="J11" t="n">
        <v>1.91</v>
      </c>
      <c r="K11" t="n">
        <v>88</v>
      </c>
      <c r="L11" t="n">
        <v>79</v>
      </c>
      <c r="M11" t="n">
        <v>82</v>
      </c>
      <c r="N11" t="n">
        <v>84</v>
      </c>
      <c r="O11" t="n">
        <v>89</v>
      </c>
      <c r="P11" t="n">
        <v>86</v>
      </c>
      <c r="Q11" t="n">
        <v>65</v>
      </c>
      <c r="R11" t="n">
        <v>85</v>
      </c>
      <c r="S11" t="n">
        <v>76</v>
      </c>
      <c r="T11" t="n">
        <v>59</v>
      </c>
      <c r="U11" t="n">
        <v>58</v>
      </c>
      <c r="V11" t="n">
        <v>58</v>
      </c>
      <c r="W11" t="n">
        <v>79</v>
      </c>
      <c r="X11" t="n">
        <v>57</v>
      </c>
      <c r="Y11" t="n">
        <v>64</v>
      </c>
      <c r="Z11" t="n">
        <v>86</v>
      </c>
      <c r="AA11" t="n">
        <v>81</v>
      </c>
      <c r="AB11" t="n">
        <v>78</v>
      </c>
      <c r="AC11" t="n">
        <v>80</v>
      </c>
      <c r="AD11" t="n">
        <v>83</v>
      </c>
      <c r="AE11" t="n">
        <v>5036</v>
      </c>
      <c r="AF11" t="n">
        <v>56773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Jesse Chidera</t>
        </is>
      </c>
      <c r="B12" t="inlineStr">
        <is>
          <t>Ani</t>
        </is>
      </c>
      <c r="C12" t="inlineStr">
        <is>
          <t>SG</t>
        </is>
      </c>
      <c r="D12" t="inlineStr">
        <is>
          <t>N/A</t>
        </is>
      </c>
      <c r="E12" t="n">
        <v>14</v>
      </c>
      <c r="F12" t="n">
        <v>2002</v>
      </c>
      <c r="G12" t="n">
        <v>1</v>
      </c>
      <c r="H12" t="n">
        <v>27</v>
      </c>
      <c r="J12" t="n">
        <v>1.91</v>
      </c>
      <c r="K12" t="n">
        <v>100</v>
      </c>
      <c r="L12" t="n">
        <v>79</v>
      </c>
      <c r="M12" t="n">
        <v>82</v>
      </c>
      <c r="N12" t="n">
        <v>60</v>
      </c>
      <c r="O12" t="n">
        <v>60</v>
      </c>
      <c r="P12" t="n">
        <v>86</v>
      </c>
      <c r="Q12" t="n">
        <v>65</v>
      </c>
      <c r="R12" t="n">
        <v>85</v>
      </c>
      <c r="S12" t="n">
        <v>74</v>
      </c>
      <c r="T12" t="n">
        <v>59</v>
      </c>
      <c r="U12" t="n">
        <v>60</v>
      </c>
      <c r="V12" t="n">
        <v>58</v>
      </c>
      <c r="W12" t="n">
        <v>79</v>
      </c>
      <c r="X12" t="n">
        <v>60</v>
      </c>
      <c r="Y12" t="n">
        <v>64</v>
      </c>
      <c r="Z12" t="n">
        <v>89</v>
      </c>
      <c r="AA12" t="n">
        <v>84</v>
      </c>
      <c r="AB12" t="n">
        <v>81</v>
      </c>
      <c r="AC12" t="n">
        <v>77</v>
      </c>
      <c r="AD12" t="n">
        <v>78</v>
      </c>
      <c r="AE12" t="n">
        <v>9185</v>
      </c>
      <c r="AF12" t="n">
        <v>2004990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Nico</t>
        </is>
      </c>
      <c r="B13" t="inlineStr">
        <is>
          <t>Santana Mojica</t>
        </is>
      </c>
      <c r="C13" t="inlineStr">
        <is>
          <t>SF</t>
        </is>
      </c>
      <c r="D13" t="inlineStr">
        <is>
          <t>N/A</t>
        </is>
      </c>
      <c r="E13" t="n">
        <v>10</v>
      </c>
      <c r="F13" t="n">
        <v>2002</v>
      </c>
      <c r="G13" t="n">
        <v>5</v>
      </c>
      <c r="H13" t="n">
        <v>7</v>
      </c>
      <c r="J13" t="n">
        <v>1.94</v>
      </c>
      <c r="K13" t="n">
        <v>86</v>
      </c>
      <c r="L13" t="n">
        <v>80</v>
      </c>
      <c r="M13" t="n">
        <v>80</v>
      </c>
      <c r="N13" t="n">
        <v>60</v>
      </c>
      <c r="O13" t="n">
        <v>60</v>
      </c>
      <c r="P13" t="n">
        <v>84</v>
      </c>
      <c r="Q13" t="n">
        <v>74</v>
      </c>
      <c r="R13" t="n">
        <v>77</v>
      </c>
      <c r="S13" t="n">
        <v>71</v>
      </c>
      <c r="T13" t="n">
        <v>62</v>
      </c>
      <c r="U13" t="n">
        <v>72</v>
      </c>
      <c r="V13" t="n">
        <v>67</v>
      </c>
      <c r="W13" t="n">
        <v>77</v>
      </c>
      <c r="X13" t="n">
        <v>69</v>
      </c>
      <c r="Y13" t="n">
        <v>69</v>
      </c>
      <c r="Z13" t="n">
        <v>82</v>
      </c>
      <c r="AA13" t="n">
        <v>83</v>
      </c>
      <c r="AB13" t="n">
        <v>79</v>
      </c>
      <c r="AC13" t="n">
        <v>77</v>
      </c>
      <c r="AD13" t="n">
        <v>78</v>
      </c>
      <c r="AE13" t="n">
        <v>9052</v>
      </c>
      <c r="AF13" t="n">
        <v>2003798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  <row r="14">
      <c r="A14" t="inlineStr">
        <is>
          <t>Aron</t>
        </is>
      </c>
      <c r="B14" t="inlineStr">
        <is>
          <t>Heberle</t>
        </is>
      </c>
      <c r="C14" t="inlineStr">
        <is>
          <t>C</t>
        </is>
      </c>
      <c r="D14" t="inlineStr">
        <is>
          <t>N/A</t>
        </is>
      </c>
      <c r="E14" t="n">
        <v>17</v>
      </c>
      <c r="F14" t="n">
        <v>2006</v>
      </c>
      <c r="G14" t="n">
        <v>5</v>
      </c>
      <c r="H14" t="n">
        <v>26</v>
      </c>
      <c r="J14" t="n">
        <v>2.06</v>
      </c>
      <c r="K14" t="n">
        <v>109</v>
      </c>
      <c r="L14" t="n">
        <v>83</v>
      </c>
      <c r="M14" t="n">
        <v>66</v>
      </c>
      <c r="N14" t="n">
        <v>54</v>
      </c>
      <c r="O14" t="n">
        <v>85</v>
      </c>
      <c r="P14" t="n">
        <v>74</v>
      </c>
      <c r="Q14" t="n">
        <v>83</v>
      </c>
      <c r="R14" t="n">
        <v>54</v>
      </c>
      <c r="S14" t="n">
        <v>55</v>
      </c>
      <c r="T14" t="n">
        <v>78</v>
      </c>
      <c r="U14" t="n">
        <v>90</v>
      </c>
      <c r="V14" t="n">
        <v>86</v>
      </c>
      <c r="W14" t="n">
        <v>59</v>
      </c>
      <c r="X14" t="n">
        <v>84</v>
      </c>
      <c r="Y14" t="n">
        <v>87</v>
      </c>
      <c r="Z14" t="n">
        <v>57</v>
      </c>
      <c r="AA14" t="n">
        <v>83</v>
      </c>
      <c r="AB14" t="n">
        <v>82</v>
      </c>
      <c r="AC14" t="n">
        <v>62</v>
      </c>
      <c r="AD14" t="n">
        <v>64</v>
      </c>
      <c r="AE14" t="n">
        <v>9116</v>
      </c>
      <c r="AF14" t="n">
        <v>2004237</v>
      </c>
      <c r="AG14">
        <f>IF(ISNA(MATCH($C14,'_Overall_Model'!$A$2:$A$6,0)),"",ROUND(SUMPRODUCT(L14:AD14,INDEX('_Overall_Model'!$B$2:$T$6,MATCH($C14,'_Overall_Model'!$A$2:$A$6,0),0))+INDEX('_Overall_Model'!$U$2:$U$6,MATCH($C14,'_Overall_Model'!$A$2:$A$6,0))+INDEX('_Overall_Model'!$V$2:$V$6,MATCH($C14,'_Overall_Model'!$A$2:$A$6,0))*IF(Q14&gt;=75,99,IF(Q14&gt;=60,50,0))+INDEX('_Overall_Model'!$W$2:$W$6,MATCH($C14,'_Overall_Model'!$A$2:$A$6,0))*J14+INDEX('_Overall_Model'!$X$2:$X$6,MATCH($C14,'_Overall_Model'!$A$2:$A$6,0))*K14,0))</f>
        <v/>
      </c>
    </row>
    <row r="15">
      <c r="A15" t="inlineStr">
        <is>
          <t>Neil</t>
        </is>
      </c>
      <c r="B15" t="inlineStr">
        <is>
          <t>Schwanenberg</t>
        </is>
      </c>
      <c r="C15" t="inlineStr">
        <is>
          <t>SG</t>
        </is>
      </c>
      <c r="D15" t="inlineStr">
        <is>
          <t>N/A</t>
        </is>
      </c>
      <c r="E15" t="n">
        <v>8</v>
      </c>
      <c r="F15" t="n">
        <v>2006</v>
      </c>
      <c r="G15" t="n">
        <v>2</v>
      </c>
      <c r="H15" t="n">
        <v>6</v>
      </c>
      <c r="J15" t="n">
        <v>1.85</v>
      </c>
      <c r="K15" t="n">
        <v>75</v>
      </c>
      <c r="L15" t="n">
        <v>73</v>
      </c>
      <c r="M15" t="n">
        <v>76</v>
      </c>
      <c r="N15" t="n">
        <v>67</v>
      </c>
      <c r="O15" t="n">
        <v>60</v>
      </c>
      <c r="P15" t="n">
        <v>80</v>
      </c>
      <c r="Q15" t="n">
        <v>61</v>
      </c>
      <c r="R15" t="n">
        <v>79</v>
      </c>
      <c r="S15" t="n">
        <v>66</v>
      </c>
      <c r="T15" t="n">
        <v>53</v>
      </c>
      <c r="U15" t="n">
        <v>52</v>
      </c>
      <c r="V15" t="n">
        <v>52</v>
      </c>
      <c r="W15" t="n">
        <v>73</v>
      </c>
      <c r="X15" t="n">
        <v>51</v>
      </c>
      <c r="Y15" t="n">
        <v>56</v>
      </c>
      <c r="Z15" t="n">
        <v>89</v>
      </c>
      <c r="AA15" t="n">
        <v>78</v>
      </c>
      <c r="AB15" t="n">
        <v>72</v>
      </c>
      <c r="AC15" t="n">
        <v>66</v>
      </c>
      <c r="AD15" t="n">
        <v>66</v>
      </c>
      <c r="AE15" t="n">
        <v>9062</v>
      </c>
      <c r="AF15" t="n">
        <v>2003945</v>
      </c>
      <c r="AG15">
        <f>IF(ISNA(MATCH($C15,'_Overall_Model'!$A$2:$A$6,0)),"",ROUND(SUMPRODUCT(L15:AD15,INDEX('_Overall_Model'!$B$2:$T$6,MATCH($C15,'_Overall_Model'!$A$2:$A$6,0),0))+INDEX('_Overall_Model'!$U$2:$U$6,MATCH($C15,'_Overall_Model'!$A$2:$A$6,0))+INDEX('_Overall_Model'!$V$2:$V$6,MATCH($C15,'_Overall_Model'!$A$2:$A$6,0))*IF(Q15&gt;=75,99,IF(Q15&gt;=60,50,0))+INDEX('_Overall_Model'!$W$2:$W$6,MATCH($C15,'_Overall_Model'!$A$2:$A$6,0))*J15+INDEX('_Overall_Model'!$X$2:$X$6,MATCH($C15,'_Overall_Model'!$A$2:$A$6,0))*K15,0))</f>
        <v/>
      </c>
    </row>
    <row r="16">
      <c r="A16" t="inlineStr">
        <is>
          <t>Julian</t>
        </is>
      </c>
      <c r="B16" t="inlineStr">
        <is>
          <t>Hilt</t>
        </is>
      </c>
      <c r="C16" t="inlineStr">
        <is>
          <t>PG</t>
        </is>
      </c>
      <c r="D16" t="inlineStr">
        <is>
          <t>N/A</t>
        </is>
      </c>
      <c r="E16" t="n">
        <v>4</v>
      </c>
      <c r="F16" t="n">
        <v>2010</v>
      </c>
      <c r="G16" t="n">
        <v>1</v>
      </c>
      <c r="H16" t="n">
        <v>23</v>
      </c>
      <c r="J16" t="n">
        <v>1.86</v>
      </c>
      <c r="K16" t="n">
        <v>72</v>
      </c>
      <c r="L16" t="n">
        <v>70</v>
      </c>
      <c r="M16" t="n">
        <v>75</v>
      </c>
      <c r="N16" t="n">
        <v>70</v>
      </c>
      <c r="O16" t="n">
        <v>80</v>
      </c>
      <c r="P16" t="n">
        <v>81</v>
      </c>
      <c r="Q16" t="n">
        <v>57</v>
      </c>
      <c r="R16" t="n">
        <v>86</v>
      </c>
      <c r="S16" t="n">
        <v>80</v>
      </c>
      <c r="T16" t="n">
        <v>50</v>
      </c>
      <c r="U16" t="n">
        <v>50</v>
      </c>
      <c r="V16" t="n">
        <v>50</v>
      </c>
      <c r="W16" t="n">
        <v>82</v>
      </c>
      <c r="X16" t="n">
        <v>50</v>
      </c>
      <c r="Y16" t="n">
        <v>50</v>
      </c>
      <c r="Z16" t="n">
        <v>92</v>
      </c>
      <c r="AA16" t="n">
        <v>77</v>
      </c>
      <c r="AB16" t="n">
        <v>72</v>
      </c>
      <c r="AC16" t="n">
        <v>65</v>
      </c>
      <c r="AD16" t="n">
        <v>65</v>
      </c>
      <c r="AE16" t="n">
        <v>9115</v>
      </c>
      <c r="AF16" t="n">
        <v>2004234</v>
      </c>
      <c r="AG16">
        <f>IF(ISNA(MATCH($C16,'_Overall_Model'!$A$2:$A$6,0)),"",ROUND(SUMPRODUCT(L16:AD16,INDEX('_Overall_Model'!$B$2:$T$6,MATCH($C16,'_Overall_Model'!$A$2:$A$6,0),0))+INDEX('_Overall_Model'!$U$2:$U$6,MATCH($C16,'_Overall_Model'!$A$2:$A$6,0))+INDEX('_Overall_Model'!$V$2:$V$6,MATCH($C16,'_Overall_Model'!$A$2:$A$6,0))*IF(Q16&gt;=75,99,IF(Q16&gt;=60,50,0))+INDEX('_Overall_Model'!$W$2:$W$6,MATCH($C16,'_Overall_Model'!$A$2:$A$6,0))*J16+INDEX('_Overall_Model'!$X$2:$X$6,MATCH($C16,'_Overall_Model'!$A$2:$A$6,0))*K16,0)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5"/>
  <sheetViews>
    <sheetView workbookViewId="0">
      <selection activeCell="A1" sqref="A1"/>
    </sheetView>
  </sheetViews>
  <sheetFormatPr baseColWidth="8" defaultRowHeight="15"/>
  <cols>
    <col width="9" customWidth="1" min="33" max="33"/>
  </cols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Position</t>
        </is>
      </c>
      <c r="D1" t="inlineStr">
        <is>
          <t>Secondary Position</t>
        </is>
      </c>
      <c r="E1" t="inlineStr">
        <is>
          <t>Jersey Number</t>
        </is>
      </c>
      <c r="F1" t="inlineStr">
        <is>
          <t>Birth Year</t>
        </is>
      </c>
      <c r="G1" t="inlineStr">
        <is>
          <t>Birth Month</t>
        </is>
      </c>
      <c r="H1" t="inlineStr">
        <is>
          <t>Birth Day</t>
        </is>
      </c>
      <c r="I1" t="inlineStr">
        <is>
          <t>Years Pro</t>
        </is>
      </c>
      <c r="J1" t="inlineStr">
        <is>
          <t>Height</t>
        </is>
      </c>
      <c r="K1" t="inlineStr">
        <is>
          <t>Weight</t>
        </is>
      </c>
      <c r="L1" t="inlineStr">
        <is>
          <t>Close Shot</t>
        </is>
      </c>
      <c r="M1" t="inlineStr">
        <is>
          <t>Midrange Shot</t>
        </is>
      </c>
      <c r="N1" t="inlineStr">
        <is>
          <t>3pt Shot</t>
        </is>
      </c>
      <c r="O1" t="inlineStr">
        <is>
          <t>Free Throws</t>
        </is>
      </c>
      <c r="P1" t="inlineStr">
        <is>
          <t>Layup</t>
        </is>
      </c>
      <c r="Q1" t="inlineStr">
        <is>
          <t>Dunk</t>
        </is>
      </c>
      <c r="R1" t="inlineStr">
        <is>
          <t>Ball Handling</t>
        </is>
      </c>
      <c r="S1" t="inlineStr">
        <is>
          <t>Passing</t>
        </is>
      </c>
      <c r="T1" t="inlineStr">
        <is>
          <t>Post Offense</t>
        </is>
      </c>
      <c r="U1" t="inlineStr">
        <is>
          <t>Post Defense</t>
        </is>
      </c>
      <c r="V1" t="inlineStr">
        <is>
          <t>Block</t>
        </is>
      </c>
      <c r="W1" t="inlineStr">
        <is>
          <t>Steal</t>
        </is>
      </c>
      <c r="X1" t="inlineStr">
        <is>
          <t>Offensive Rebound</t>
        </is>
      </c>
      <c r="Y1" t="inlineStr">
        <is>
          <t>Defensive Rebound</t>
        </is>
      </c>
      <c r="Z1" t="inlineStr">
        <is>
          <t>Speed</t>
        </is>
      </c>
      <c r="AA1" t="inlineStr">
        <is>
          <t>Stamina</t>
        </is>
      </c>
      <c r="AB1" t="inlineStr">
        <is>
          <t>Durability</t>
        </is>
      </c>
      <c r="AC1" t="inlineStr">
        <is>
          <t>Defensive Awareness</t>
        </is>
      </c>
      <c r="AD1" t="inlineStr">
        <is>
          <t>Offensive Awareness</t>
        </is>
      </c>
      <c r="AE1" t="inlineStr">
        <is>
          <t>Headshot ID</t>
        </is>
      </c>
      <c r="AF1" t="inlineStr">
        <is>
          <t>ProA ID</t>
        </is>
      </c>
      <c r="AG1" t="inlineStr">
        <is>
          <t>Overall</t>
        </is>
      </c>
    </row>
    <row r="2">
      <c r="A2" t="inlineStr">
        <is>
          <t>JaMonta</t>
        </is>
      </c>
      <c r="B2" t="inlineStr">
        <is>
          <t>Black</t>
        </is>
      </c>
      <c r="C2" t="inlineStr">
        <is>
          <t>SG</t>
        </is>
      </c>
      <c r="D2" t="inlineStr">
        <is>
          <t>N/A</t>
        </is>
      </c>
      <c r="E2" t="n">
        <v>24</v>
      </c>
      <c r="F2" t="n">
        <v>2001</v>
      </c>
      <c r="G2" t="n">
        <v>1</v>
      </c>
      <c r="H2" t="n">
        <v>26</v>
      </c>
      <c r="J2" t="n">
        <v>1.93</v>
      </c>
      <c r="K2" t="n">
        <v>82</v>
      </c>
      <c r="L2" t="n">
        <v>90</v>
      </c>
      <c r="M2" t="n">
        <v>93</v>
      </c>
      <c r="N2" t="n">
        <v>99</v>
      </c>
      <c r="O2" t="n">
        <v>97</v>
      </c>
      <c r="P2" t="n">
        <v>94</v>
      </c>
      <c r="Q2" t="n">
        <v>75</v>
      </c>
      <c r="R2" t="n">
        <v>87</v>
      </c>
      <c r="S2" t="n">
        <v>79</v>
      </c>
      <c r="T2" t="n">
        <v>68</v>
      </c>
      <c r="U2" t="n">
        <v>67</v>
      </c>
      <c r="V2" t="n">
        <v>67</v>
      </c>
      <c r="W2" t="n">
        <v>84</v>
      </c>
      <c r="X2" t="n">
        <v>62</v>
      </c>
      <c r="Y2" t="n">
        <v>69</v>
      </c>
      <c r="Z2" t="n">
        <v>94</v>
      </c>
      <c r="AA2" t="n">
        <v>89</v>
      </c>
      <c r="AB2" t="n">
        <v>83</v>
      </c>
      <c r="AC2" t="n">
        <v>82</v>
      </c>
      <c r="AD2" t="n">
        <v>86</v>
      </c>
      <c r="AE2" t="n">
        <v>9176</v>
      </c>
      <c r="AF2" t="n">
        <v>2004916</v>
      </c>
      <c r="AG2">
        <f>IF(ISNA(MATCH($C2,'_Overall_Model'!$A$2:$A$6,0)),"",ROUND(SUMPRODUCT(L2:AD2,INDEX('_Overall_Model'!$B$2:$T$6,MATCH($C2,'_Overall_Model'!$A$2:$A$6,0),0))+INDEX('_Overall_Model'!$U$2:$U$6,MATCH($C2,'_Overall_Model'!$A$2:$A$6,0))+INDEX('_Overall_Model'!$V$2:$V$6,MATCH($C2,'_Overall_Model'!$A$2:$A$6,0))*IF(Q2&gt;=75,99,IF(Q2&gt;=60,50,0))+INDEX('_Overall_Model'!$W$2:$W$6,MATCH($C2,'_Overall_Model'!$A$2:$A$6,0))*J2+INDEX('_Overall_Model'!$X$2:$X$6,MATCH($C2,'_Overall_Model'!$A$2:$A$6,0))*K2,0))</f>
        <v/>
      </c>
    </row>
    <row r="3">
      <c r="A3" t="inlineStr">
        <is>
          <t>Niklas</t>
        </is>
      </c>
      <c r="B3" t="inlineStr">
        <is>
          <t>Geske</t>
        </is>
      </c>
      <c r="C3" t="inlineStr">
        <is>
          <t>PG</t>
        </is>
      </c>
      <c r="D3" t="inlineStr">
        <is>
          <t>N/A</t>
        </is>
      </c>
      <c r="E3" t="n">
        <v>4</v>
      </c>
      <c r="F3" t="n">
        <v>1994</v>
      </c>
      <c r="G3" t="n">
        <v>4</v>
      </c>
      <c r="H3" t="n">
        <v>13</v>
      </c>
      <c r="J3" t="n">
        <v>1.88</v>
      </c>
      <c r="K3" t="n">
        <v>83</v>
      </c>
      <c r="L3" t="n">
        <v>82</v>
      </c>
      <c r="M3" t="n">
        <v>87</v>
      </c>
      <c r="N3" t="n">
        <v>89</v>
      </c>
      <c r="O3" t="n">
        <v>95</v>
      </c>
      <c r="P3" t="n">
        <v>93</v>
      </c>
      <c r="Q3" t="n">
        <v>66</v>
      </c>
      <c r="R3" t="n">
        <v>99</v>
      </c>
      <c r="S3" t="n">
        <v>99</v>
      </c>
      <c r="T3" t="n">
        <v>61</v>
      </c>
      <c r="U3" t="n">
        <v>56</v>
      </c>
      <c r="V3" t="n">
        <v>56</v>
      </c>
      <c r="W3" t="n">
        <v>99</v>
      </c>
      <c r="X3" t="n">
        <v>60</v>
      </c>
      <c r="Y3" t="n">
        <v>62</v>
      </c>
      <c r="Z3" t="n">
        <v>93</v>
      </c>
      <c r="AA3" t="n">
        <v>84</v>
      </c>
      <c r="AB3" t="n">
        <v>82</v>
      </c>
      <c r="AC3" t="n">
        <v>85</v>
      </c>
      <c r="AD3" t="n">
        <v>86</v>
      </c>
      <c r="AE3" t="n">
        <v>5006</v>
      </c>
      <c r="AF3" t="n">
        <v>5119</v>
      </c>
      <c r="AG3">
        <f>IF(ISNA(MATCH($C3,'_Overall_Model'!$A$2:$A$6,0)),"",ROUND(SUMPRODUCT(L3:AD3,INDEX('_Overall_Model'!$B$2:$T$6,MATCH($C3,'_Overall_Model'!$A$2:$A$6,0),0))+INDEX('_Overall_Model'!$U$2:$U$6,MATCH($C3,'_Overall_Model'!$A$2:$A$6,0))+INDEX('_Overall_Model'!$V$2:$V$6,MATCH($C3,'_Overall_Model'!$A$2:$A$6,0))*IF(Q3&gt;=75,99,IF(Q3&gt;=60,50,0))+INDEX('_Overall_Model'!$W$2:$W$6,MATCH($C3,'_Overall_Model'!$A$2:$A$6,0))*J3+INDEX('_Overall_Model'!$X$2:$X$6,MATCH($C3,'_Overall_Model'!$A$2:$A$6,0))*K3,0))</f>
        <v/>
      </c>
    </row>
    <row r="4">
      <c r="A4" t="inlineStr">
        <is>
          <t>Thomas</t>
        </is>
      </c>
      <c r="B4" t="inlineStr">
        <is>
          <t>Kamarad</t>
        </is>
      </c>
      <c r="C4" t="inlineStr">
        <is>
          <t>PF</t>
        </is>
      </c>
      <c r="D4" t="inlineStr">
        <is>
          <t>N/A</t>
        </is>
      </c>
      <c r="E4" t="n">
        <v>15</v>
      </c>
      <c r="F4" t="n">
        <v>2001</v>
      </c>
      <c r="G4" t="n">
        <v>2</v>
      </c>
      <c r="H4" t="n">
        <v>11</v>
      </c>
      <c r="J4" t="n">
        <v>2.03</v>
      </c>
      <c r="K4" t="n">
        <v>93</v>
      </c>
      <c r="L4" t="n">
        <v>91</v>
      </c>
      <c r="M4" t="n">
        <v>77</v>
      </c>
      <c r="N4" t="n">
        <v>85</v>
      </c>
      <c r="O4" t="n">
        <v>69</v>
      </c>
      <c r="P4" t="n">
        <v>88</v>
      </c>
      <c r="Q4" t="n">
        <v>81</v>
      </c>
      <c r="R4" t="n">
        <v>66</v>
      </c>
      <c r="S4" t="n">
        <v>68</v>
      </c>
      <c r="T4" t="n">
        <v>82</v>
      </c>
      <c r="U4" t="n">
        <v>82</v>
      </c>
      <c r="V4" t="n">
        <v>78</v>
      </c>
      <c r="W4" t="n">
        <v>68</v>
      </c>
      <c r="X4" t="n">
        <v>89</v>
      </c>
      <c r="Y4" t="n">
        <v>89</v>
      </c>
      <c r="Z4" t="n">
        <v>70</v>
      </c>
      <c r="AA4" t="n">
        <v>85</v>
      </c>
      <c r="AB4" t="n">
        <v>88</v>
      </c>
      <c r="AC4" t="n">
        <v>75</v>
      </c>
      <c r="AD4" t="n">
        <v>76</v>
      </c>
      <c r="AE4" t="n">
        <v>9177</v>
      </c>
      <c r="AF4" t="n">
        <v>2004917</v>
      </c>
      <c r="AG4">
        <f>IF(ISNA(MATCH($C4,'_Overall_Model'!$A$2:$A$6,0)),"",ROUND(SUMPRODUCT(L4:AD4,INDEX('_Overall_Model'!$B$2:$T$6,MATCH($C4,'_Overall_Model'!$A$2:$A$6,0),0))+INDEX('_Overall_Model'!$U$2:$U$6,MATCH($C4,'_Overall_Model'!$A$2:$A$6,0))+INDEX('_Overall_Model'!$V$2:$V$6,MATCH($C4,'_Overall_Model'!$A$2:$A$6,0))*IF(Q4&gt;=75,99,IF(Q4&gt;=60,50,0))+INDEX('_Overall_Model'!$W$2:$W$6,MATCH($C4,'_Overall_Model'!$A$2:$A$6,0))*J4+INDEX('_Overall_Model'!$X$2:$X$6,MATCH($C4,'_Overall_Model'!$A$2:$A$6,0))*K4,0))</f>
        <v/>
      </c>
    </row>
    <row r="5">
      <c r="A5" t="inlineStr">
        <is>
          <t>Neil</t>
        </is>
      </c>
      <c r="B5" t="inlineStr">
        <is>
          <t>Masnic</t>
        </is>
      </c>
      <c r="C5" t="inlineStr">
        <is>
          <t>PF</t>
        </is>
      </c>
      <c r="D5" t="inlineStr">
        <is>
          <t>N/A</t>
        </is>
      </c>
      <c r="E5" t="n">
        <v>10</v>
      </c>
      <c r="F5" t="n">
        <v>2000</v>
      </c>
      <c r="G5" t="n">
        <v>5</v>
      </c>
      <c r="H5" t="n">
        <v>10</v>
      </c>
      <c r="J5" t="n">
        <v>2.06</v>
      </c>
      <c r="K5" t="n">
        <v>102</v>
      </c>
      <c r="L5" t="n">
        <v>83</v>
      </c>
      <c r="M5" t="n">
        <v>75</v>
      </c>
      <c r="N5" t="n">
        <v>78</v>
      </c>
      <c r="O5" t="n">
        <v>69</v>
      </c>
      <c r="P5" t="n">
        <v>80</v>
      </c>
      <c r="Q5" t="n">
        <v>80</v>
      </c>
      <c r="R5" t="n">
        <v>66</v>
      </c>
      <c r="S5" t="n">
        <v>68</v>
      </c>
      <c r="T5" t="n">
        <v>79</v>
      </c>
      <c r="U5" t="n">
        <v>86</v>
      </c>
      <c r="V5" t="n">
        <v>81</v>
      </c>
      <c r="W5" t="n">
        <v>68</v>
      </c>
      <c r="X5" t="n">
        <v>86</v>
      </c>
      <c r="Y5" t="n">
        <v>73</v>
      </c>
      <c r="Z5" t="n">
        <v>70</v>
      </c>
      <c r="AA5" t="n">
        <v>85</v>
      </c>
      <c r="AB5" t="n">
        <v>85</v>
      </c>
      <c r="AC5" t="n">
        <v>74</v>
      </c>
      <c r="AD5" t="n">
        <v>75</v>
      </c>
      <c r="AE5" t="n">
        <v>9173</v>
      </c>
      <c r="AF5" t="n">
        <v>2004913</v>
      </c>
      <c r="AG5">
        <f>IF(ISNA(MATCH($C5,'_Overall_Model'!$A$2:$A$6,0)),"",ROUND(SUMPRODUCT(L5:AD5,INDEX('_Overall_Model'!$B$2:$T$6,MATCH($C5,'_Overall_Model'!$A$2:$A$6,0),0))+INDEX('_Overall_Model'!$U$2:$U$6,MATCH($C5,'_Overall_Model'!$A$2:$A$6,0))+INDEX('_Overall_Model'!$V$2:$V$6,MATCH($C5,'_Overall_Model'!$A$2:$A$6,0))*IF(Q5&gt;=75,99,IF(Q5&gt;=60,50,0))+INDEX('_Overall_Model'!$W$2:$W$6,MATCH($C5,'_Overall_Model'!$A$2:$A$6,0))*J5+INDEX('_Overall_Model'!$X$2:$X$6,MATCH($C5,'_Overall_Model'!$A$2:$A$6,0))*K5,0))</f>
        <v/>
      </c>
    </row>
    <row r="6">
      <c r="A6" t="inlineStr">
        <is>
          <t>Aitor Julen</t>
        </is>
      </c>
      <c r="B6" t="inlineStr">
        <is>
          <t>Pickett Lazo</t>
        </is>
      </c>
      <c r="C6" t="inlineStr">
        <is>
          <t>PF</t>
        </is>
      </c>
      <c r="D6" t="inlineStr">
        <is>
          <t>N/A</t>
        </is>
      </c>
      <c r="E6" t="n">
        <v>7</v>
      </c>
      <c r="F6" t="n">
        <v>1999</v>
      </c>
      <c r="G6" t="n">
        <v>6</v>
      </c>
      <c r="H6" t="n">
        <v>5</v>
      </c>
      <c r="J6" t="n">
        <v>2.03</v>
      </c>
      <c r="K6" t="n">
        <v>100</v>
      </c>
      <c r="L6" t="n">
        <v>83</v>
      </c>
      <c r="M6" t="n">
        <v>75</v>
      </c>
      <c r="N6" t="n">
        <v>71</v>
      </c>
      <c r="O6" t="n">
        <v>60</v>
      </c>
      <c r="P6" t="n">
        <v>80</v>
      </c>
      <c r="Q6" t="n">
        <v>80</v>
      </c>
      <c r="R6" t="n">
        <v>66</v>
      </c>
      <c r="S6" t="n">
        <v>68</v>
      </c>
      <c r="T6" t="n">
        <v>79</v>
      </c>
      <c r="U6" t="n">
        <v>84</v>
      </c>
      <c r="V6" t="n">
        <v>78</v>
      </c>
      <c r="W6" t="n">
        <v>68</v>
      </c>
      <c r="X6" t="n">
        <v>89</v>
      </c>
      <c r="Y6" t="n">
        <v>69</v>
      </c>
      <c r="Z6" t="n">
        <v>70</v>
      </c>
      <c r="AA6" t="n">
        <v>85</v>
      </c>
      <c r="AB6" t="n">
        <v>88</v>
      </c>
      <c r="AC6" t="n">
        <v>74</v>
      </c>
      <c r="AD6" t="n">
        <v>75</v>
      </c>
      <c r="AE6" t="n">
        <v>9420</v>
      </c>
      <c r="AF6" t="n">
        <v>2003097</v>
      </c>
      <c r="AG6">
        <f>IF(ISNA(MATCH($C6,'_Overall_Model'!$A$2:$A$6,0)),"",ROUND(SUMPRODUCT(L6:AD6,INDEX('_Overall_Model'!$B$2:$T$6,MATCH($C6,'_Overall_Model'!$A$2:$A$6,0),0))+INDEX('_Overall_Model'!$U$2:$U$6,MATCH($C6,'_Overall_Model'!$A$2:$A$6,0))+INDEX('_Overall_Model'!$V$2:$V$6,MATCH($C6,'_Overall_Model'!$A$2:$A$6,0))*IF(Q6&gt;=75,99,IF(Q6&gt;=60,50,0))+INDEX('_Overall_Model'!$W$2:$W$6,MATCH($C6,'_Overall_Model'!$A$2:$A$6,0))*J6+INDEX('_Overall_Model'!$X$2:$X$6,MATCH($C6,'_Overall_Model'!$A$2:$A$6,0))*K6,0))</f>
        <v/>
      </c>
    </row>
    <row r="7">
      <c r="A7" t="inlineStr">
        <is>
          <t>Gabriel</t>
        </is>
      </c>
      <c r="B7" t="inlineStr">
        <is>
          <t>Kuku</t>
        </is>
      </c>
      <c r="C7" t="inlineStr">
        <is>
          <t>SF</t>
        </is>
      </c>
      <c r="D7" t="inlineStr">
        <is>
          <t>N/A</t>
        </is>
      </c>
      <c r="E7" t="n">
        <v>3</v>
      </c>
      <c r="F7" t="n">
        <v>2001</v>
      </c>
      <c r="G7" t="n">
        <v>11</v>
      </c>
      <c r="H7" t="n">
        <v>22</v>
      </c>
      <c r="J7" t="n">
        <v>1.9</v>
      </c>
      <c r="K7" t="n">
        <v>85</v>
      </c>
      <c r="L7" t="n">
        <v>81</v>
      </c>
      <c r="M7" t="n">
        <v>81</v>
      </c>
      <c r="N7" t="n">
        <v>67</v>
      </c>
      <c r="O7" t="n">
        <v>60</v>
      </c>
      <c r="P7" t="n">
        <v>88</v>
      </c>
      <c r="Q7" t="n">
        <v>72</v>
      </c>
      <c r="R7" t="n">
        <v>80</v>
      </c>
      <c r="S7" t="n">
        <v>72</v>
      </c>
      <c r="T7" t="n">
        <v>63</v>
      </c>
      <c r="U7" t="n">
        <v>69</v>
      </c>
      <c r="V7" t="n">
        <v>64</v>
      </c>
      <c r="W7" t="n">
        <v>75</v>
      </c>
      <c r="X7" t="n">
        <v>70</v>
      </c>
      <c r="Y7" t="n">
        <v>70</v>
      </c>
      <c r="Z7" t="n">
        <v>85</v>
      </c>
      <c r="AA7" t="n">
        <v>84</v>
      </c>
      <c r="AB7" t="n">
        <v>80</v>
      </c>
      <c r="AC7" t="n">
        <v>77</v>
      </c>
      <c r="AD7" t="n">
        <v>79</v>
      </c>
      <c r="AE7" t="n">
        <v>9172</v>
      </c>
      <c r="AF7" t="n">
        <v>2004907</v>
      </c>
      <c r="AG7">
        <f>IF(ISNA(MATCH($C7,'_Overall_Model'!$A$2:$A$6,0)),"",ROUND(SUMPRODUCT(L7:AD7,INDEX('_Overall_Model'!$B$2:$T$6,MATCH($C7,'_Overall_Model'!$A$2:$A$6,0),0))+INDEX('_Overall_Model'!$U$2:$U$6,MATCH($C7,'_Overall_Model'!$A$2:$A$6,0))+INDEX('_Overall_Model'!$V$2:$V$6,MATCH($C7,'_Overall_Model'!$A$2:$A$6,0))*IF(Q7&gt;=75,99,IF(Q7&gt;=60,50,0))+INDEX('_Overall_Model'!$W$2:$W$6,MATCH($C7,'_Overall_Model'!$A$2:$A$6,0))*J7+INDEX('_Overall_Model'!$X$2:$X$6,MATCH($C7,'_Overall_Model'!$A$2:$A$6,0))*K7,0))</f>
        <v/>
      </c>
    </row>
    <row r="8">
      <c r="A8" t="inlineStr">
        <is>
          <t>David</t>
        </is>
      </c>
      <c r="B8" t="inlineStr">
        <is>
          <t>Pisic</t>
        </is>
      </c>
      <c r="C8" t="inlineStr">
        <is>
          <t>SG</t>
        </is>
      </c>
      <c r="D8" t="inlineStr">
        <is>
          <t>N/A</t>
        </is>
      </c>
      <c r="E8" t="n">
        <v>5</v>
      </c>
      <c r="F8" t="n">
        <v>2003</v>
      </c>
      <c r="G8" t="n">
        <v>10</v>
      </c>
      <c r="H8" t="n">
        <v>29</v>
      </c>
      <c r="J8" t="n">
        <v>2</v>
      </c>
      <c r="K8" t="n">
        <v>87</v>
      </c>
      <c r="L8" t="n">
        <v>79</v>
      </c>
      <c r="M8" t="n">
        <v>82</v>
      </c>
      <c r="N8" t="n">
        <v>91</v>
      </c>
      <c r="O8" t="n">
        <v>89</v>
      </c>
      <c r="P8" t="n">
        <v>83</v>
      </c>
      <c r="Q8" t="n">
        <v>67</v>
      </c>
      <c r="R8" t="n">
        <v>81</v>
      </c>
      <c r="S8" t="n">
        <v>74</v>
      </c>
      <c r="T8" t="n">
        <v>59</v>
      </c>
      <c r="U8" t="n">
        <v>62</v>
      </c>
      <c r="V8" t="n">
        <v>62</v>
      </c>
      <c r="W8" t="n">
        <v>79</v>
      </c>
      <c r="X8" t="n">
        <v>60</v>
      </c>
      <c r="Y8" t="n">
        <v>62</v>
      </c>
      <c r="Z8" t="n">
        <v>85</v>
      </c>
      <c r="AA8" t="n">
        <v>84</v>
      </c>
      <c r="AB8" t="n">
        <v>81</v>
      </c>
      <c r="AC8" t="n">
        <v>76</v>
      </c>
      <c r="AD8" t="n">
        <v>78</v>
      </c>
      <c r="AE8" t="n">
        <v>9174</v>
      </c>
      <c r="AF8" t="n">
        <v>2004914</v>
      </c>
      <c r="AG8">
        <f>IF(ISNA(MATCH($C8,'_Overall_Model'!$A$2:$A$6,0)),"",ROUND(SUMPRODUCT(L8:AD8,INDEX('_Overall_Model'!$B$2:$T$6,MATCH($C8,'_Overall_Model'!$A$2:$A$6,0),0))+INDEX('_Overall_Model'!$U$2:$U$6,MATCH($C8,'_Overall_Model'!$A$2:$A$6,0))+INDEX('_Overall_Model'!$V$2:$V$6,MATCH($C8,'_Overall_Model'!$A$2:$A$6,0))*IF(Q8&gt;=75,99,IF(Q8&gt;=60,50,0))+INDEX('_Overall_Model'!$W$2:$W$6,MATCH($C8,'_Overall_Model'!$A$2:$A$6,0))*J8+INDEX('_Overall_Model'!$X$2:$X$6,MATCH($C8,'_Overall_Model'!$A$2:$A$6,0))*K8,0))</f>
        <v/>
      </c>
    </row>
    <row r="9">
      <c r="A9" t="inlineStr">
        <is>
          <t>Kilian</t>
        </is>
      </c>
      <c r="B9" t="inlineStr">
        <is>
          <t>Dietz</t>
        </is>
      </c>
      <c r="C9" t="inlineStr">
        <is>
          <t>C</t>
        </is>
      </c>
      <c r="D9" t="inlineStr">
        <is>
          <t>N/A</t>
        </is>
      </c>
      <c r="E9" t="n">
        <v>8</v>
      </c>
      <c r="F9" t="n">
        <v>1990</v>
      </c>
      <c r="G9" t="n">
        <v>11</v>
      </c>
      <c r="H9" t="n">
        <v>9</v>
      </c>
      <c r="J9" t="n">
        <v>2.02</v>
      </c>
      <c r="K9" t="n">
        <v>106</v>
      </c>
      <c r="L9" t="n">
        <v>88</v>
      </c>
      <c r="M9" t="n">
        <v>68</v>
      </c>
      <c r="N9" t="n">
        <v>56</v>
      </c>
      <c r="O9" t="n">
        <v>60</v>
      </c>
      <c r="P9" t="n">
        <v>79</v>
      </c>
      <c r="Q9" t="n">
        <v>83</v>
      </c>
      <c r="R9" t="n">
        <v>56</v>
      </c>
      <c r="S9" t="n">
        <v>62</v>
      </c>
      <c r="T9" t="n">
        <v>81</v>
      </c>
      <c r="U9" t="n">
        <v>90</v>
      </c>
      <c r="V9" t="n">
        <v>85</v>
      </c>
      <c r="W9" t="n">
        <v>61</v>
      </c>
      <c r="X9" t="n">
        <v>89</v>
      </c>
      <c r="Y9" t="n">
        <v>70</v>
      </c>
      <c r="Z9" t="n">
        <v>50</v>
      </c>
      <c r="AA9" t="n">
        <v>74</v>
      </c>
      <c r="AB9" t="n">
        <v>87</v>
      </c>
      <c r="AC9" t="n">
        <v>74</v>
      </c>
      <c r="AD9" t="n">
        <v>80</v>
      </c>
      <c r="AE9" t="n">
        <v>5005</v>
      </c>
      <c r="AF9" t="n">
        <v>5117</v>
      </c>
      <c r="AG9">
        <f>IF(ISNA(MATCH($C9,'_Overall_Model'!$A$2:$A$6,0)),"",ROUND(SUMPRODUCT(L9:AD9,INDEX('_Overall_Model'!$B$2:$T$6,MATCH($C9,'_Overall_Model'!$A$2:$A$6,0),0))+INDEX('_Overall_Model'!$U$2:$U$6,MATCH($C9,'_Overall_Model'!$A$2:$A$6,0))+INDEX('_Overall_Model'!$V$2:$V$6,MATCH($C9,'_Overall_Model'!$A$2:$A$6,0))*IF(Q9&gt;=75,99,IF(Q9&gt;=60,50,0))+INDEX('_Overall_Model'!$W$2:$W$6,MATCH($C9,'_Overall_Model'!$A$2:$A$6,0))*J9+INDEX('_Overall_Model'!$X$2:$X$6,MATCH($C9,'_Overall_Model'!$A$2:$A$6,0))*K9,0))</f>
        <v/>
      </c>
    </row>
    <row r="10">
      <c r="A10" t="inlineStr">
        <is>
          <t>Jaylen</t>
        </is>
      </c>
      <c r="B10" t="inlineStr">
        <is>
          <t>Wesley</t>
        </is>
      </c>
      <c r="C10" t="inlineStr">
        <is>
          <t>SG</t>
        </is>
      </c>
      <c r="D10" t="inlineStr">
        <is>
          <t>N/A</t>
        </is>
      </c>
      <c r="E10" t="n">
        <v>23</v>
      </c>
      <c r="F10" t="n">
        <v>2004</v>
      </c>
      <c r="G10" t="n">
        <v>10</v>
      </c>
      <c r="H10" t="n">
        <v>11</v>
      </c>
      <c r="J10" t="n">
        <v>1.93</v>
      </c>
      <c r="K10" t="n">
        <v>84</v>
      </c>
      <c r="L10" t="n">
        <v>77</v>
      </c>
      <c r="M10" t="n">
        <v>80</v>
      </c>
      <c r="N10" t="n">
        <v>60</v>
      </c>
      <c r="O10" t="n">
        <v>90</v>
      </c>
      <c r="P10" t="n">
        <v>81</v>
      </c>
      <c r="Q10" t="n">
        <v>65</v>
      </c>
      <c r="R10" t="n">
        <v>81</v>
      </c>
      <c r="S10" t="n">
        <v>72</v>
      </c>
      <c r="T10" t="n">
        <v>57</v>
      </c>
      <c r="U10" t="n">
        <v>60</v>
      </c>
      <c r="V10" t="n">
        <v>60</v>
      </c>
      <c r="W10" t="n">
        <v>77</v>
      </c>
      <c r="X10" t="n">
        <v>55</v>
      </c>
      <c r="Y10" t="n">
        <v>60</v>
      </c>
      <c r="Z10" t="n">
        <v>87</v>
      </c>
      <c r="AA10" t="n">
        <v>82</v>
      </c>
      <c r="AB10" t="n">
        <v>76</v>
      </c>
      <c r="AC10" t="n">
        <v>74</v>
      </c>
      <c r="AD10" t="n">
        <v>76</v>
      </c>
      <c r="AE10" t="n">
        <v>9178</v>
      </c>
      <c r="AF10" t="n">
        <v>2004918</v>
      </c>
      <c r="AG10">
        <f>IF(ISNA(MATCH($C10,'_Overall_Model'!$A$2:$A$6,0)),"",ROUND(SUMPRODUCT(L10:AD10,INDEX('_Overall_Model'!$B$2:$T$6,MATCH($C10,'_Overall_Model'!$A$2:$A$6,0),0))+INDEX('_Overall_Model'!$U$2:$U$6,MATCH($C10,'_Overall_Model'!$A$2:$A$6,0))+INDEX('_Overall_Model'!$V$2:$V$6,MATCH($C10,'_Overall_Model'!$A$2:$A$6,0))*IF(Q10&gt;=75,99,IF(Q10&gt;=60,50,0))+INDEX('_Overall_Model'!$W$2:$W$6,MATCH($C10,'_Overall_Model'!$A$2:$A$6,0))*J10+INDEX('_Overall_Model'!$X$2:$X$6,MATCH($C10,'_Overall_Model'!$A$2:$A$6,0))*K10,0))</f>
        <v/>
      </c>
    </row>
    <row r="11">
      <c r="A11" t="inlineStr">
        <is>
          <t>Pablo</t>
        </is>
      </c>
      <c r="B11" t="inlineStr">
        <is>
          <t>Estelle</t>
        </is>
      </c>
      <c r="C11" t="inlineStr">
        <is>
          <t>PF</t>
        </is>
      </c>
      <c r="D11" t="inlineStr">
        <is>
          <t>N/A</t>
        </is>
      </c>
      <c r="E11" t="n">
        <v>16</v>
      </c>
      <c r="F11" t="n">
        <v>2007</v>
      </c>
      <c r="G11" t="n">
        <v>4</v>
      </c>
      <c r="H11" t="n">
        <v>30</v>
      </c>
      <c r="J11" t="n">
        <v>2</v>
      </c>
      <c r="K11" t="n">
        <v>93</v>
      </c>
      <c r="L11" t="n">
        <v>83</v>
      </c>
      <c r="M11" t="n">
        <v>72</v>
      </c>
      <c r="N11" t="n">
        <v>60</v>
      </c>
      <c r="O11" t="n">
        <v>60</v>
      </c>
      <c r="P11" t="n">
        <v>80</v>
      </c>
      <c r="Q11" t="n">
        <v>79</v>
      </c>
      <c r="R11" t="n">
        <v>63</v>
      </c>
      <c r="S11" t="n">
        <v>63</v>
      </c>
      <c r="T11" t="n">
        <v>77</v>
      </c>
      <c r="U11" t="n">
        <v>79</v>
      </c>
      <c r="V11" t="n">
        <v>75</v>
      </c>
      <c r="W11" t="n">
        <v>65</v>
      </c>
      <c r="X11" t="n">
        <v>83</v>
      </c>
      <c r="Y11" t="n">
        <v>81</v>
      </c>
      <c r="Z11" t="n">
        <v>71</v>
      </c>
      <c r="AA11" t="n">
        <v>82</v>
      </c>
      <c r="AB11" t="n">
        <v>82</v>
      </c>
      <c r="AC11" t="n">
        <v>66</v>
      </c>
      <c r="AD11" t="n">
        <v>66</v>
      </c>
      <c r="AE11" t="n">
        <v>9180</v>
      </c>
      <c r="AF11" t="n">
        <v>2004928</v>
      </c>
      <c r="AG11">
        <f>IF(ISNA(MATCH($C11,'_Overall_Model'!$A$2:$A$6,0)),"",ROUND(SUMPRODUCT(L11:AD11,INDEX('_Overall_Model'!$B$2:$T$6,MATCH($C11,'_Overall_Model'!$A$2:$A$6,0),0))+INDEX('_Overall_Model'!$U$2:$U$6,MATCH($C11,'_Overall_Model'!$A$2:$A$6,0))+INDEX('_Overall_Model'!$V$2:$V$6,MATCH($C11,'_Overall_Model'!$A$2:$A$6,0))*IF(Q11&gt;=75,99,IF(Q11&gt;=60,50,0))+INDEX('_Overall_Model'!$W$2:$W$6,MATCH($C11,'_Overall_Model'!$A$2:$A$6,0))*J11+INDEX('_Overall_Model'!$X$2:$X$6,MATCH($C11,'_Overall_Model'!$A$2:$A$6,0))*K11,0))</f>
        <v/>
      </c>
    </row>
    <row r="12">
      <c r="A12" t="inlineStr">
        <is>
          <t>Dyami</t>
        </is>
      </c>
      <c r="B12" t="inlineStr">
        <is>
          <t>Janeck</t>
        </is>
      </c>
      <c r="C12" t="inlineStr">
        <is>
          <t>PG</t>
        </is>
      </c>
      <c r="D12" t="inlineStr">
        <is>
          <t>N/A</t>
        </is>
      </c>
      <c r="E12" t="n">
        <v>21</v>
      </c>
      <c r="F12" t="n">
        <v>2005</v>
      </c>
      <c r="G12" t="n">
        <v>10</v>
      </c>
      <c r="H12" t="n">
        <v>10</v>
      </c>
      <c r="J12" t="n">
        <v>1.88</v>
      </c>
      <c r="K12" t="n">
        <v>82</v>
      </c>
      <c r="L12" t="n">
        <v>73</v>
      </c>
      <c r="M12" t="n">
        <v>78</v>
      </c>
      <c r="N12" t="n">
        <v>67</v>
      </c>
      <c r="O12" t="n">
        <v>88</v>
      </c>
      <c r="P12" t="n">
        <v>84</v>
      </c>
      <c r="Q12" t="n">
        <v>60</v>
      </c>
      <c r="R12" t="n">
        <v>89</v>
      </c>
      <c r="S12" t="n">
        <v>83</v>
      </c>
      <c r="T12" t="n">
        <v>53</v>
      </c>
      <c r="U12" t="n">
        <v>50</v>
      </c>
      <c r="V12" t="n">
        <v>50</v>
      </c>
      <c r="W12" t="n">
        <v>85</v>
      </c>
      <c r="X12" t="n">
        <v>53</v>
      </c>
      <c r="Y12" t="n">
        <v>53</v>
      </c>
      <c r="Z12" t="n">
        <v>93</v>
      </c>
      <c r="AA12" t="n">
        <v>80</v>
      </c>
      <c r="AB12" t="n">
        <v>75</v>
      </c>
      <c r="AC12" t="n">
        <v>68</v>
      </c>
      <c r="AD12" t="n">
        <v>68</v>
      </c>
      <c r="AE12" t="n">
        <v>9179</v>
      </c>
      <c r="AF12" t="n">
        <v>2004927</v>
      </c>
      <c r="AG12">
        <f>IF(ISNA(MATCH($C12,'_Overall_Model'!$A$2:$A$6,0)),"",ROUND(SUMPRODUCT(L12:AD12,INDEX('_Overall_Model'!$B$2:$T$6,MATCH($C12,'_Overall_Model'!$A$2:$A$6,0),0))+INDEX('_Overall_Model'!$U$2:$U$6,MATCH($C12,'_Overall_Model'!$A$2:$A$6,0))+INDEX('_Overall_Model'!$V$2:$V$6,MATCH($C12,'_Overall_Model'!$A$2:$A$6,0))*IF(Q12&gt;=75,99,IF(Q12&gt;=60,50,0))+INDEX('_Overall_Model'!$W$2:$W$6,MATCH($C12,'_Overall_Model'!$A$2:$A$6,0))*J12+INDEX('_Overall_Model'!$X$2:$X$6,MATCH($C12,'_Overall_Model'!$A$2:$A$6,0))*K12,0))</f>
        <v/>
      </c>
    </row>
    <row r="13">
      <c r="A13" t="inlineStr">
        <is>
          <t>Conrad</t>
        </is>
      </c>
      <c r="B13" t="inlineStr">
        <is>
          <t>Klotz</t>
        </is>
      </c>
      <c r="C13" t="inlineStr">
        <is>
          <t>PG</t>
        </is>
      </c>
      <c r="D13" t="inlineStr">
        <is>
          <t>N/A</t>
        </is>
      </c>
      <c r="E13" t="n">
        <v>42</v>
      </c>
      <c r="F13" t="n">
        <v>2005</v>
      </c>
      <c r="G13" t="n">
        <v>12</v>
      </c>
      <c r="H13" t="n">
        <v>7</v>
      </c>
      <c r="J13" t="n">
        <v>1.83</v>
      </c>
      <c r="K13" t="n">
        <v>83</v>
      </c>
      <c r="L13" t="n">
        <v>73</v>
      </c>
      <c r="M13" t="n">
        <v>78</v>
      </c>
      <c r="N13" t="n">
        <v>73</v>
      </c>
      <c r="O13" t="n">
        <v>88</v>
      </c>
      <c r="P13" t="n">
        <v>85</v>
      </c>
      <c r="Q13" t="n">
        <v>59</v>
      </c>
      <c r="R13" t="n">
        <v>90</v>
      </c>
      <c r="S13" t="n">
        <v>83</v>
      </c>
      <c r="T13" t="n">
        <v>53</v>
      </c>
      <c r="U13" t="n">
        <v>50</v>
      </c>
      <c r="V13" t="n">
        <v>50</v>
      </c>
      <c r="W13" t="n">
        <v>89</v>
      </c>
      <c r="X13" t="n">
        <v>53</v>
      </c>
      <c r="Y13" t="n">
        <v>53</v>
      </c>
      <c r="Z13" t="n">
        <v>95</v>
      </c>
      <c r="AA13" t="n">
        <v>80</v>
      </c>
      <c r="AB13" t="n">
        <v>75</v>
      </c>
      <c r="AC13" t="n">
        <v>68</v>
      </c>
      <c r="AD13" t="n">
        <v>68</v>
      </c>
      <c r="AE13" t="n">
        <v>9175</v>
      </c>
      <c r="AF13" t="n">
        <v>2004915</v>
      </c>
      <c r="AG13">
        <f>IF(ISNA(MATCH($C13,'_Overall_Model'!$A$2:$A$6,0)),"",ROUND(SUMPRODUCT(L13:AD13,INDEX('_Overall_Model'!$B$2:$T$6,MATCH($C13,'_Overall_Model'!$A$2:$A$6,0),0))+INDEX('_Overall_Model'!$U$2:$U$6,MATCH($C13,'_Overall_Model'!$A$2:$A$6,0))+INDEX('_Overall_Model'!$V$2:$V$6,MATCH($C13,'_Overall_Model'!$A$2:$A$6,0))*IF(Q13&gt;=75,99,IF(Q13&gt;=60,50,0))+INDEX('_Overall_Model'!$W$2:$W$6,MATCH($C13,'_Overall_Model'!$A$2:$A$6,0))*J13+INDEX('_Overall_Model'!$X$2:$X$6,MATCH($C13,'_Overall_Model'!$A$2:$A$6,0))*K13,0))</f>
        <v/>
      </c>
    </row>
    <row r="14">
      <c r="A14" t="inlineStr">
        <is>
          <t>Mats</t>
        </is>
      </c>
      <c r="B14" t="inlineStr">
        <is>
          <t>Neumann</t>
        </is>
      </c>
      <c r="C14" t="inlineStr">
        <is>
          <t>SG</t>
        </is>
      </c>
      <c r="D14" t="inlineStr">
        <is>
          <t>N/A</t>
        </is>
      </c>
      <c r="E14" t="n">
        <v>13</v>
      </c>
      <c r="F14" t="n">
        <v>2009</v>
      </c>
      <c r="G14" t="n">
        <v>4</v>
      </c>
      <c r="H14" t="n">
        <v>28</v>
      </c>
      <c r="J14" t="n">
        <v>1.88</v>
      </c>
      <c r="K14" t="n">
        <v>70</v>
      </c>
      <c r="L14" t="n">
        <v>72</v>
      </c>
      <c r="M14" t="n">
        <v>75</v>
      </c>
      <c r="N14" t="n">
        <v>77</v>
      </c>
      <c r="O14" t="n">
        <v>60</v>
      </c>
      <c r="P14" t="n">
        <v>79</v>
      </c>
      <c r="Q14" t="n">
        <v>60</v>
      </c>
      <c r="R14" t="n">
        <v>78</v>
      </c>
      <c r="S14" t="n">
        <v>65</v>
      </c>
      <c r="T14" t="n">
        <v>52</v>
      </c>
      <c r="U14" t="n">
        <v>51</v>
      </c>
      <c r="V14" t="n">
        <v>51</v>
      </c>
      <c r="W14" t="n">
        <v>72</v>
      </c>
      <c r="X14" t="n">
        <v>50</v>
      </c>
      <c r="Y14" t="n">
        <v>55</v>
      </c>
      <c r="Z14" t="n">
        <v>90</v>
      </c>
      <c r="AA14" t="n">
        <v>77</v>
      </c>
      <c r="AB14" t="n">
        <v>71</v>
      </c>
      <c r="AC14" t="n">
        <v>65</v>
      </c>
      <c r="AD14" t="n">
        <v>65</v>
      </c>
      <c r="AE14" t="n">
        <v>5542</v>
      </c>
      <c r="AF14" t="n">
        <v>2001926</v>
      </c>
      <c r="AG14">
        <f>IF(ISNA(MATCH($C14,'_Overall_Model'!$A$2:$A$6,0)),"",ROUND(SUMPRODUCT(L14:AD14,INDEX('_Overall_Model'!$B$2:$T$6,MATCH($C14,'_Overall_Model'!$A$2:$A$6,0),0))+INDEX('_Overall_Model'!$U$2:$U$6,MATCH($C14,'_Overall_Model'!$A$2:$A$6,0))+INDEX('_Overall_Model'!$V$2:$V$6,MATCH($C14,'_Overall_Model'!$A$2:$A$6,0))*IF(Q14&gt;=75,99,IF(Q14&gt;=60,50,0))+INDEX('_Overall_Model'!$W$2:$W$6,MATCH($C14,'_Overall_Model'!$A$2:$A$6,0))*J14+INDEX('_Overall_Model'!$X$2:$X$6,MATCH($C14,'_Overall_Model'!$A$2:$A$6,0))*K14,0))</f>
        <v/>
      </c>
    </row>
    <row r="15">
      <c r="A15" t="inlineStr">
        <is>
          <t>Neo</t>
        </is>
      </c>
      <c r="B15" t="inlineStr">
        <is>
          <t>Scholz</t>
        </is>
      </c>
      <c r="C15" t="inlineStr">
        <is>
          <t>PF</t>
        </is>
      </c>
      <c r="D15" t="inlineStr">
        <is>
          <t>N/A</t>
        </is>
      </c>
      <c r="E15" t="n">
        <v>22</v>
      </c>
      <c r="F15" t="n">
        <v>2009</v>
      </c>
      <c r="G15" t="n">
        <v>1</v>
      </c>
      <c r="H15" t="n">
        <v>13</v>
      </c>
      <c r="J15" t="n">
        <v>2.03</v>
      </c>
      <c r="K15" t="n">
        <v>90</v>
      </c>
      <c r="L15" t="n">
        <v>75</v>
      </c>
      <c r="M15" t="n">
        <v>67</v>
      </c>
      <c r="N15" t="n">
        <v>63</v>
      </c>
      <c r="O15" t="n">
        <v>65</v>
      </c>
      <c r="P15" t="n">
        <v>72</v>
      </c>
      <c r="Q15" t="n">
        <v>74</v>
      </c>
      <c r="R15" t="n">
        <v>58</v>
      </c>
      <c r="S15" t="n">
        <v>58</v>
      </c>
      <c r="T15" t="n">
        <v>71</v>
      </c>
      <c r="U15" t="n">
        <v>74</v>
      </c>
      <c r="V15" t="n">
        <v>70</v>
      </c>
      <c r="W15" t="n">
        <v>60</v>
      </c>
      <c r="X15" t="n">
        <v>78</v>
      </c>
      <c r="Y15" t="n">
        <v>76</v>
      </c>
      <c r="Z15" t="n">
        <v>66</v>
      </c>
      <c r="AA15" t="n">
        <v>77</v>
      </c>
      <c r="AB15" t="n">
        <v>77</v>
      </c>
      <c r="AC15" t="n">
        <v>61</v>
      </c>
      <c r="AD15" t="n">
        <v>61</v>
      </c>
      <c r="AE15" t="n">
        <v>9195</v>
      </c>
      <c r="AF15" t="n">
        <v>2005196</v>
      </c>
      <c r="AG15">
        <f>IF(ISNA(MATCH($C15,'_Overall_Model'!$A$2:$A$6,0)),"",ROUND(SUMPRODUCT(L15:AD15,INDEX('_Overall_Model'!$B$2:$T$6,MATCH($C15,'_Overall_Model'!$A$2:$A$6,0),0))+INDEX('_Overall_Model'!$U$2:$U$6,MATCH($C15,'_Overall_Model'!$A$2:$A$6,0))+INDEX('_Overall_Model'!$V$2:$V$6,MATCH($C15,'_Overall_Model'!$A$2:$A$6,0))*IF(Q15&gt;=75,99,IF(Q15&gt;=60,50,0))+INDEX('_Overall_Model'!$W$2:$W$6,MATCH($C15,'_Overall_Model'!$A$2:$A$6,0))*J15+INDEX('_Overall_Model'!$X$2:$X$6,MATCH($C15,'_Overall_Model'!$A$2:$A$6,0))*K15,0)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11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1" t="inlineStr">
        <is>
          <t>Position</t>
        </is>
      </c>
      <c r="B1" s="1" t="inlineStr">
        <is>
          <t>Close Shot</t>
        </is>
      </c>
      <c r="C1" s="1" t="inlineStr">
        <is>
          <t>Midrange Shot</t>
        </is>
      </c>
      <c r="D1" s="1" t="inlineStr">
        <is>
          <t>3pt Shot</t>
        </is>
      </c>
      <c r="E1" s="1" t="inlineStr">
        <is>
          <t>Free Throws</t>
        </is>
      </c>
      <c r="F1" s="1" t="inlineStr">
        <is>
          <t>Layup</t>
        </is>
      </c>
      <c r="G1" s="1" t="inlineStr">
        <is>
          <t>Dunk</t>
        </is>
      </c>
      <c r="H1" s="1" t="inlineStr">
        <is>
          <t>Ball Handling</t>
        </is>
      </c>
      <c r="I1" s="1" t="inlineStr">
        <is>
          <t>Passing</t>
        </is>
      </c>
      <c r="J1" s="1" t="inlineStr">
        <is>
          <t>Post Offense</t>
        </is>
      </c>
      <c r="K1" s="1" t="inlineStr">
        <is>
          <t>Post Defense</t>
        </is>
      </c>
      <c r="L1" s="1" t="inlineStr">
        <is>
          <t>Block</t>
        </is>
      </c>
      <c r="M1" s="1" t="inlineStr">
        <is>
          <t>Steal</t>
        </is>
      </c>
      <c r="N1" s="1" t="inlineStr">
        <is>
          <t>Offensive Rebound</t>
        </is>
      </c>
      <c r="O1" s="1" t="inlineStr">
        <is>
          <t>Defensive Rebound</t>
        </is>
      </c>
      <c r="P1" s="1" t="inlineStr">
        <is>
          <t>Speed</t>
        </is>
      </c>
      <c r="Q1" s="1" t="inlineStr">
        <is>
          <t>Stamina</t>
        </is>
      </c>
      <c r="R1" s="1" t="inlineStr">
        <is>
          <t>Durability</t>
        </is>
      </c>
      <c r="S1" s="1" t="inlineStr">
        <is>
          <t>Defensive Awareness</t>
        </is>
      </c>
      <c r="T1" s="1" t="inlineStr">
        <is>
          <t>Offensive Awareness</t>
        </is>
      </c>
      <c r="U1" s="1" t="inlineStr">
        <is>
          <t>Intercept</t>
        </is>
      </c>
      <c r="V1" s="1" t="inlineStr">
        <is>
          <t>DunkFlag weight</t>
        </is>
      </c>
      <c r="W1" s="1" t="inlineStr">
        <is>
          <t>Height coef (per m)</t>
        </is>
      </c>
      <c r="X1" s="1" t="inlineStr">
        <is>
          <t>Weight coef (per kg)</t>
        </is>
      </c>
    </row>
    <row r="2">
      <c r="A2" t="inlineStr">
        <is>
          <t>PG</t>
        </is>
      </c>
      <c r="B2" t="n">
        <v>0.0503</v>
      </c>
      <c r="C2" t="n">
        <v>0.2263</v>
      </c>
      <c r="D2" t="n">
        <v>0.0838</v>
      </c>
      <c r="E2" t="n">
        <v>0.0294</v>
      </c>
      <c r="F2" t="n">
        <v>0.1129</v>
      </c>
      <c r="G2" t="n">
        <v>0.0251</v>
      </c>
      <c r="H2" t="n">
        <v>0.1293</v>
      </c>
      <c r="I2" t="n">
        <v>0.1482</v>
      </c>
      <c r="J2" t="n">
        <v>0.0224</v>
      </c>
      <c r="K2" t="n">
        <v>0.0429</v>
      </c>
      <c r="L2" t="n">
        <v>0.0236</v>
      </c>
      <c r="M2" t="n">
        <v>0.1153</v>
      </c>
      <c r="N2" t="n">
        <v>0.0615</v>
      </c>
      <c r="O2" t="n">
        <v>0.0561</v>
      </c>
      <c r="P2" t="n">
        <v>0.0515</v>
      </c>
      <c r="Q2" t="n">
        <v>0.0238</v>
      </c>
      <c r="R2" t="n">
        <v>0.0116</v>
      </c>
      <c r="S2" t="n">
        <v>0.0871</v>
      </c>
      <c r="T2" t="n">
        <v>0.0759</v>
      </c>
      <c r="U2" t="n">
        <v>-24.9705</v>
      </c>
      <c r="V2" t="n">
        <v>-0.0017</v>
      </c>
      <c r="W2" t="n">
        <v>0</v>
      </c>
      <c r="X2" t="n">
        <v>0</v>
      </c>
    </row>
    <row r="3">
      <c r="A3" t="inlineStr">
        <is>
          <t>SG</t>
        </is>
      </c>
      <c r="B3" t="n">
        <v>0.0388</v>
      </c>
      <c r="C3" t="n">
        <v>0.2107</v>
      </c>
      <c r="D3" t="n">
        <v>0.0982</v>
      </c>
      <c r="E3" t="n">
        <v>0.05</v>
      </c>
      <c r="F3" t="n">
        <v>0.0941</v>
      </c>
      <c r="G3" t="n">
        <v>0.0948</v>
      </c>
      <c r="H3" t="n">
        <v>0.1093</v>
      </c>
      <c r="I3" t="n">
        <v>0.0572</v>
      </c>
      <c r="J3" t="n">
        <v>0.0227</v>
      </c>
      <c r="K3" t="n">
        <v>0.0505</v>
      </c>
      <c r="L3" t="n">
        <v>0.0269</v>
      </c>
      <c r="M3" t="n">
        <v>0.0536</v>
      </c>
      <c r="N3" t="n">
        <v>0.0459</v>
      </c>
      <c r="O3" t="n">
        <v>0.0607</v>
      </c>
      <c r="P3" t="n">
        <v>0.06320000000000001</v>
      </c>
      <c r="Q3" t="n">
        <v>-0.0032</v>
      </c>
      <c r="R3" t="n">
        <v>0.008999999999999999</v>
      </c>
      <c r="S3" t="n">
        <v>0.0853</v>
      </c>
      <c r="T3" t="n">
        <v>0.0631</v>
      </c>
      <c r="U3" t="n">
        <v>-12.7625</v>
      </c>
      <c r="V3" t="n">
        <v>-0.0017</v>
      </c>
      <c r="W3" t="n">
        <v>0</v>
      </c>
      <c r="X3" t="n">
        <v>0</v>
      </c>
    </row>
    <row r="4">
      <c r="A4" t="inlineStr">
        <is>
          <t>SF</t>
        </is>
      </c>
      <c r="B4" t="n">
        <v>0.0474</v>
      </c>
      <c r="C4" t="n">
        <v>0.2053</v>
      </c>
      <c r="D4" t="n">
        <v>0.0766</v>
      </c>
      <c r="E4" t="n">
        <v>0.0214</v>
      </c>
      <c r="F4" t="n">
        <v>0.0707</v>
      </c>
      <c r="G4" t="n">
        <v>0.0863</v>
      </c>
      <c r="H4" t="n">
        <v>0.0898</v>
      </c>
      <c r="I4" t="n">
        <v>0.0524</v>
      </c>
      <c r="J4" t="n">
        <v>0.1063</v>
      </c>
      <c r="K4" t="n">
        <v>0.0901</v>
      </c>
      <c r="L4" t="n">
        <v>0.0655</v>
      </c>
      <c r="M4" t="n">
        <v>0.046</v>
      </c>
      <c r="N4" t="n">
        <v>0.046</v>
      </c>
      <c r="O4" t="n">
        <v>0.0892</v>
      </c>
      <c r="P4" t="n">
        <v>0.0211</v>
      </c>
      <c r="Q4" t="n">
        <v>0.0032</v>
      </c>
      <c r="R4" t="n">
        <v>-0.0214</v>
      </c>
      <c r="S4" t="n">
        <v>0.07729999999999999</v>
      </c>
      <c r="T4" t="n">
        <v>0.0747</v>
      </c>
      <c r="U4" t="n">
        <v>-13.8705</v>
      </c>
      <c r="V4" t="n">
        <v>-0.0017</v>
      </c>
      <c r="W4" t="n">
        <v>0</v>
      </c>
      <c r="X4" t="n">
        <v>0</v>
      </c>
    </row>
    <row r="5">
      <c r="A5" t="inlineStr">
        <is>
          <t>PF</t>
        </is>
      </c>
      <c r="B5" t="n">
        <v>0.0654</v>
      </c>
      <c r="C5" t="n">
        <v>0.1793</v>
      </c>
      <c r="D5" t="n">
        <v>0.0312</v>
      </c>
      <c r="E5" t="n">
        <v>0.0313</v>
      </c>
      <c r="F5" t="n">
        <v>0.0464</v>
      </c>
      <c r="G5" t="n">
        <v>0.1085</v>
      </c>
      <c r="H5" t="n">
        <v>0.0129</v>
      </c>
      <c r="I5" t="n">
        <v>0.0207</v>
      </c>
      <c r="J5" t="n">
        <v>0.1188</v>
      </c>
      <c r="K5" t="n">
        <v>0.1091</v>
      </c>
      <c r="L5" t="n">
        <v>0.1032</v>
      </c>
      <c r="M5" t="n">
        <v>0.0596</v>
      </c>
      <c r="N5" t="n">
        <v>0.0901</v>
      </c>
      <c r="O5" t="n">
        <v>0.1085</v>
      </c>
      <c r="P5" t="n">
        <v>0.0281</v>
      </c>
      <c r="Q5" t="n">
        <v>0.0213</v>
      </c>
      <c r="R5" t="n">
        <v>-0.0233</v>
      </c>
      <c r="S5" t="n">
        <v>0.0388</v>
      </c>
      <c r="T5" t="n">
        <v>0.08409999999999999</v>
      </c>
      <c r="U5" t="n">
        <v>-15.4195</v>
      </c>
      <c r="V5" t="n">
        <v>-0.0017</v>
      </c>
      <c r="W5" t="n">
        <v>0</v>
      </c>
      <c r="X5" t="n">
        <v>0</v>
      </c>
    </row>
    <row r="6">
      <c r="A6" t="inlineStr">
        <is>
          <t>C</t>
        </is>
      </c>
      <c r="B6" t="n">
        <v>0.0717</v>
      </c>
      <c r="C6" t="n">
        <v>0.1375</v>
      </c>
      <c r="D6" t="n">
        <v>0.0446</v>
      </c>
      <c r="E6" t="n">
        <v>0.0416</v>
      </c>
      <c r="F6" t="n">
        <v>0.0399</v>
      </c>
      <c r="G6" t="n">
        <v>0.08599999999999999</v>
      </c>
      <c r="H6" t="n">
        <v>0.0377</v>
      </c>
      <c r="I6" t="n">
        <v>0.0437</v>
      </c>
      <c r="J6" t="n">
        <v>0.1269</v>
      </c>
      <c r="K6" t="n">
        <v>0.1766</v>
      </c>
      <c r="L6" t="n">
        <v>0.1221</v>
      </c>
      <c r="M6" t="n">
        <v>0.0357</v>
      </c>
      <c r="N6" t="n">
        <v>0.1161</v>
      </c>
      <c r="O6" t="n">
        <v>0.1634</v>
      </c>
      <c r="P6" t="n">
        <v>0.0186</v>
      </c>
      <c r="Q6" t="n">
        <v>0.0012</v>
      </c>
      <c r="R6" t="n">
        <v>0.0163</v>
      </c>
      <c r="S6" t="n">
        <v>0.0109</v>
      </c>
      <c r="T6" t="n">
        <v>0.0834</v>
      </c>
      <c r="U6" t="n">
        <v>-25.5255</v>
      </c>
      <c r="V6" t="n">
        <v>-0.0017</v>
      </c>
      <c r="W6" t="n">
        <v>0</v>
      </c>
      <c r="X6" t="n">
        <v>0</v>
      </c>
    </row>
    <row r="8">
      <c r="A8" t="inlineStr">
        <is>
          <t>Overall = ROUND(intercept + sum(weight * rating) + DunkFlag weight * DunkFlag + height/weight terms), weights by Position.</t>
        </is>
      </c>
    </row>
    <row r="9">
      <c r="A9" t="inlineStr">
        <is>
          <t>DunkFlag = 99 if Dunk &gt;= 75, 50 if Dunk &gt;= 60, else 0 (what build_roster writes to the record).</t>
        </is>
      </c>
    </row>
    <row r="10">
      <c r="A10" t="inlineStr">
        <is>
          <t>The intercept already contains the neutral record bytes build_roster writes (B4F, B50, B55, ...).</t>
        </is>
      </c>
    </row>
    <row r="11">
      <c r="A11" t="inlineStr">
        <is>
          <t>Generated by scripts/overall_sheet.py from data/overall_model.json (LOO error 1.39, n=211). Edit the model via fit_overall.py, not here.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2026-10-23T12:18:08Z</dcterms:created>
  <dcterms:modified xsi:type="dcterms:W3CDTF">2026-10-23T12:18:08Z</dcterms:modified>
</cp:coreProperties>
</file>